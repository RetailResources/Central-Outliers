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1925B93C-AC27-6B49-BBAC-AC8C7E9D0F1E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Store" sheetId="4" r:id="rId1"/>
    <sheet name="Employee" sheetId="6" r:id="rId2"/>
    <sheet name="Location List" sheetId="1" r:id="rId3"/>
    <sheet name="Dat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B394" i="6"/>
  <c r="A394" i="6" s="1"/>
  <c r="B395" i="6"/>
  <c r="A395" i="6" s="1"/>
  <c r="B396" i="6"/>
  <c r="A396" i="6" s="1"/>
  <c r="B397" i="6"/>
  <c r="A397" i="6" s="1"/>
  <c r="B398" i="6"/>
  <c r="A398" i="6" s="1"/>
  <c r="B399" i="6"/>
  <c r="A399" i="6" s="1"/>
  <c r="B400" i="6"/>
  <c r="A400" i="6" s="1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1" i="4" l="1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<sst xmlns="http://schemas.openxmlformats.org/spreadsheetml/2006/main" count="3372" uniqueCount="1003">
  <si>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</si>
  <si>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</si>
  <si>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</si>
  <si>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</si>
  <si>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</si>
  <si>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</si>
  <si>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</si>
  <si>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</si>
  <si>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</si>
  <si>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</si>
  <si>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</si>
  <si>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</si>
  <si>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</si>
  <si>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</si>
  <si>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</si>
  <si>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</si>
  <si>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</si>
  <si>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</si>
  <si>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</si>
  <si>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</si>
  <si>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</si>
  <si>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</si>
  <si>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</si>
  <si>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</si>
  <si>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</si>
  <si>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</si>
  <si>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</si>
  <si>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</si>
  <si>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</si>
  <si>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</si>
  <si>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</si>
  <si>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</si>
  <si>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</si>
  <si>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</si>
  <si>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</si>
  <si>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</si>
  <si>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</si>
  <si>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</si>
  <si>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</si>
  <si>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</si>
  <si>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</si>
  <si>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</si>
  <si>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</si>
  <si>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</si>
  <si>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</si>
  <si>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</si>
  <si>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</si>
  <si>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</si>
  <si>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</si>
  <si>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</si>
  <si>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</si>
  <si>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</si>
  <si>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</si>
  <si>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</si>
  <si>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</si>
  <si>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</si>
  <si>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</si>
  <si>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</si>
  <si>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</si>
  <si>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</si>
  <si>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</si>
  <si>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</si>
  <si>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</si>
  <si>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</si>
  <si>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</si>
  <si>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</si>
  <si>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</si>
  <si>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</si>
  <si>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</si>
  <si>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</si>
  <si>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</si>
  <si>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</si>
  <si>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</si>
  <si>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</si>
  <si>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</si>
  <si>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</si>
  <si>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</si>
  <si>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</si>
  <si>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</si>
  <si>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</si>
  <si>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</si>
  <si>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</si>
  <si>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</si>
  <si>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</si>
  <si>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</si>
  <si>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</si>
  <si>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</si>
  <si>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</si>
  <si>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</si>
  <si>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</si>
  <si>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</si>
  <si>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</si>
  <si>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</si>
  <si>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</si>
  <si>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</si>
  <si>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</si>
  <si>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</si>
  <si>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</si>
  <si>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</si>
  <si>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</si>
  <si>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</si>
  <si>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</si>
  <si>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</si>
  <si>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</si>
  <si>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</si>
  <si>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</si>
  <si>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</si>
  <si>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</si>
  <si>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</si>
  <si>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</si>
  <si>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</si>
  <si>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</si>
  <si>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</si>
  <si>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</si>
  <si>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</si>
  <si>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</si>
  <si>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</si>
  <si>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</si>
  <si>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</si>
  <si>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</si>
  <si>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</si>
  <si>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</si>
  <si>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</si>
  <si>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</si>
  <si>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</si>
  <si>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</si>
  <si>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</si>
  <si>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</si>
  <si>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</si>
  <si>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</si>
  <si>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</si>
  <si>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</si>
  <si>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</si>
  <si>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</si>
  <si>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</si>
  <si>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</si>
  <si>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</si>
  <si>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</si>
  <si>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</si>
  <si>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</si>
  <si>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</si>
  <si>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</si>
  <si>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</si>
  <si>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</si>
  <si>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</si>
  <si>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</si>
  <si>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</si>
  <si>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</si>
  <si>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</si>
  <si>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</si>
  <si>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</si>
  <si>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</si>
  <si>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</si>
  <si>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</si>
  <si>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</si>
  <si>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</si>
  <si>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</si>
  <si>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</si>
  <si>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</si>
  <si>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</si>
  <si>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</si>
  <si>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</si>
  <si>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</si>
  <si>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</si>
  <si>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</si>
  <si>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</si>
  <si>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</si>
  <si>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</si>
  <si>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</si>
  <si>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</si>
  <si>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</si>
  <si>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</si>
  <si>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</si>
  <si>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</si>
  <si>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</si>
  <si>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</si>
  <si>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</si>
  <si>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</si>
  <si>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</si>
  <si>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</si>
  <si>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</si>
  <si>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</si>
  <si>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</si>
  <si>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</si>
  <si>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</si>
  <si>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</si>
  <si>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</si>
  <si>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</si>
  <si>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</si>
  <si>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</si>
  <si>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</si>
  <si>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</si>
  <si>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</si>
  <si>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</si>
  <si>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</si>
  <si>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</si>
  <si>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</si>
  <si>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</si>
  <si>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</si>
  <si>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</si>
  <si>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</si>
  <si>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</si>
  <si>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</si>
  <si>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</si>
  <si>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</si>
  <si>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</si>
  <si>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</si>
  <si>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</si>
  <si>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</si>
  <si>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</si>
  <si>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</si>
  <si>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</si>
  <si>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</si>
  <si>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</si>
  <si>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</si>
  <si>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</si>
  <si>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</si>
  <si>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</si>
  <si>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</si>
  <si>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</si>
  <si>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</si>
  <si>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</si>
  <si>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</si>
  <si>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</si>
  <si>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</si>
  <si>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</si>
  <si>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</si>
  <si>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</si>
  <si>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</si>
  <si>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</si>
  <si>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</si>
  <si>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</si>
  <si>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</si>
  <si>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</si>
  <si>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</si>
  <si>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</si>
  <si>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</si>
  <si>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</si>
  <si>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</si>
  <si>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</si>
  <si>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</si>
  <si>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</si>
  <si>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</si>
  <si>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</si>
  <si>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</si>
  <si>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</si>
  <si>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</si>
  <si>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</si>
  <si>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</si>
  <si>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</si>
  <si>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</si>
  <si>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</si>
  <si>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</si>
  <si>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</si>
  <si>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</si>
  <si>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</si>
  <si>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</si>
  <si>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</si>
  <si>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</si>
  <si>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</si>
  <si>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</si>
  <si>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</si>
  <si>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</si>
  <si>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</si>
  <si>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</si>
  <si>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</si>
  <si>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</si>
  <si>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</si>
  <si>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</si>
  <si>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</si>
  <si>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</si>
  <si>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</si>
  <si>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</si>
  <si>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</si>
  <si>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</si>
  <si>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</si>
  <si>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</si>
  <si>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</si>
  <si>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</si>
  <si>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</si>
  <si>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</si>
  <si>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</si>
  <si>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</si>
  <si>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</si>
  <si>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</si>
  <si>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</si>
  <si>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</si>
  <si>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</si>
  <si>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</si>
  <si>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</si>
  <si>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</si>
  <si>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</si>
  <si>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</si>
  <si>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</si>
  <si>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</si>
  <si>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</si>
  <si>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</si>
  <si>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</si>
  <si>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</si>
  <si>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</si>
  <si>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</si>
  <si>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</si>
  <si>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</si>
  <si>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</si>
  <si>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</si>
  <si>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</si>
  <si>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</si>
  <si>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</si>
  <si>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</si>
  <si>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</si>
  <si>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</si>
  <si>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</si>
  <si>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</si>
  <si>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</si>
  <si>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</si>
  <si>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</si>
  <si>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</si>
  <si>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</si>
  <si>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</si>
  <si>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</si>
  <si>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</si>
  <si>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</si>
  <si>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</si>
  <si>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</si>
  <si>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</si>
  <si>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</si>
  <si>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</si>
  <si>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</si>
  <si>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</si>
  <si>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</si>
  <si>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</si>
  <si>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</si>
  <si>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</si>
  <si>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</si>
  <si>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</si>
  <si>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</si>
  <si>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</si>
  <si>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</si>
  <si>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</si>
  <si>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</si>
  <si>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</si>
  <si>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</si>
  <si>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</si>
  <si>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</si>
  <si>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</si>
  <si>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</si>
  <si>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</si>
  <si>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</si>
  <si>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</si>
  <si>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</si>
  <si>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</si>
  <si>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</si>
  <si>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</si>
  <si>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</si>
  <si>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</si>
  <si>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</si>
  <si>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</si>
  <si>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</si>
  <si>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</si>
  <si>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</si>
  <si>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</si>
  <si>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</si>
  <si>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</si>
  <si>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</si>
  <si>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</si>
  <si>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</si>
  <si>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</si>
  <si>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</si>
  <si>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</si>
  <si>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</si>
  <si>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</si>
  <si>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</si>
  <si>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</si>
  <si>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</si>
  <si>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</si>
  <si>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</si>
  <si>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</si>
  <si>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</si>
  <si>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</si>
  <si>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</si>
  <si>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</si>
  <si>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</si>
  <si>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</si>
  <si>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</si>
  <si>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</si>
  <si>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</si>
  <si>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</si>
  <si>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</si>
  <si>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</si>
  <si>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</si>
  <si>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</si>
  <si>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</si>
  <si>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</si>
  <si>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</si>
  <si>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</si>
  <si>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</si>
  <si>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</si>
  <si>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</si>
  <si>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</si>
  <si>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</si>
  <si>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</si>
  <si>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</si>
  <si>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</si>
  <si>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</si>
  <si>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</si>
  <si>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</si>
  <si>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</si>
  <si>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</si>
  <si>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</si>
  <si>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</si>
  <si>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</si>
  <si>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</si>
  <si>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</si>
  <si>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</si>
  <si>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</si>
  <si>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</si>
  <si>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</si>
  <si>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</si>
  <si>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</si>
  <si>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</si>
  <si>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</si>
  <si>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</si>
  <si>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</si>
  <si>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</si>
  <si>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</si>
  <si>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</si>
  <si>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</si>
  <si>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</si>
  <si>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</si>
  <si>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</si>
  <si>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</si>
  <si>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</si>
  <si>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</si>
  <si>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</si>
  <si>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</si>
  <si>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</si>
  <si>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</si>
  <si>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</si>
  <si>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</si>
  <si>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</si>
  <si>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</si>
  <si>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</si>
  <si>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</si>
  <si>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</si>
  <si>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</si>
  <si>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</si>
  <si>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</si>
  <si>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</si>
  <si>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</si>
  <si>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</si>
  <si>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</si>
  <si>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</si>
  <si>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</si>
  <si>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</si>
  <si>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</si>
  <si>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</si>
  <si>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</si>
  <si>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</si>
  <si>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</si>
  <si>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</si>
  <si>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</si>
  <si>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</si>
  <si>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</si>
  <si>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</si>
  <si>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</si>
  <si>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</si>
  <si>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</si>
  <si>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</si>
  <si>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</si>
  <si>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</si>
  <si>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</si>
  <si>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</si>
  <si>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</si>
  <si>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</si>
  <si>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</si>
  <si>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</si>
  <si>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</si>
  <si>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</si>
  <si>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</si>
  <si>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</si>
  <si>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</si>
  <si>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</si>
  <si>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</si>
  <si>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</si>
  <si>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</si>
  <si>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</si>
  <si>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</si>
  <si>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</si>
  <si>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</si>
  <si>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</si>
  <si>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</si>
  <si>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</si>
  <si>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</si>
  <si>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</si>
  <si>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</si>
  <si>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</si>
  <si>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</si>
  <si>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</si>
  <si>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</si>
  <si>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</si>
  <si>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</si>
  <si>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</si>
  <si>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</si>
  <si>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</si>
  <si>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</si>
  <si>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</si>
  <si>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</si>
  <si>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</si>
  <si>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</si>
  <si>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</si>
  <si>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</si>
  <si>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</si>
  <si>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</si>
  <si>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</si>
  <si>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</si>
  <si>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</si>
  <si>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</si>
  <si>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</si>
  <si>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</si>
  <si>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</si>
  <si>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</si>
  <si>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</si>
  <si>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</si>
  <si>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</si>
  <si>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</si>
  <si>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</si>
  <si>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</si>
  <si>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</si>
  <si>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</si>
  <si>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</si>
  <si>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</si>
  <si>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</si>
  <si>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</si>
  <si>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</si>
  <si>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</si>
  <si>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</si>
  <si>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</si>
  <si>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</si>
  <si>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</si>
  <si>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</si>
  <si>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</si>
  <si>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</si>
  <si>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</si>
  <si>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</si>
  <si>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</si>
  <si>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</si>
  <si>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</si>
  <si>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</si>
  <si>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</si>
  <si>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</si>
  <si>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</si>
  <si>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</si>
  <si>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</si>
  <si>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</si>
  <si>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</si>
  <si>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</si>
  <si>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</si>
  <si>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</si>
  <si>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</si>
  <si>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</si>
  <si>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</si>
  <si>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</si>
  <si>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</si>
  <si>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</si>
  <si>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</si>
  <si>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</si>
  <si>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</si>
  <si>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</si>
  <si>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</si>
  <si>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</si>
  <si>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</si>
  <si>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</si>
  <si>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</si>
  <si>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</si>
  <si>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</si>
  <si>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</si>
  <si>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</si>
  <si>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</si>
  <si>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</si>
  <si>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</si>
  <si>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</si>
  <si>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</si>
  <si>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</si>
  <si>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</si>
  <si>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</si>
  <si>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</si>
  <si>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</si>
  <si>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</si>
  <si>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</si>
  <si>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</si>
  <si>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</si>
  <si>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</si>
  <si>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</si>
  <si>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</si>
  <si>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</si>
  <si>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</si>
  <si>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</si>
  <si>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</si>
  <si>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</si>
  <si>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</si>
  <si>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</si>
  <si>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</si>
  <si>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</si>
  <si>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</si>
  <si>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</si>
  <si>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</si>
  <si>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</si>
  <si>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</si>
  <si>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</si>
  <si>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</si>
  <si>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</si>
  <si>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</si>
  <si>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</si>
  <si>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</si>
  <si>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</si>
  <si>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</si>
  <si>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</si>
  <si>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</si>
  <si>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</si>
  <si>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</si>
  <si>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</si>
  <si>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</si>
  <si>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</si>
  <si>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</si>
  <si>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</si>
  <si>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</si>
  <si>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</si>
  <si>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</si>
  <si>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</si>
  <si>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</si>
  <si>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</si>
  <si>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</si>
  <si>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</si>
  <si>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</si>
  <si>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</si>
  <si>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</si>
  <si>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</si>
  <si>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</si>
  <si>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</si>
  <si>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</si>
  <si>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</si>
  <si>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</si>
  <si>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</si>
  <si>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</si>
  <si>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</si>
  <si>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</si>
  <si>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</si>
  <si>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</si>
  <si>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</si>
  <si>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</si>
  <si>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</si>
  <si>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</si>
  <si>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</si>
  <si>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</si>
  <si>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</si>
  <si>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</si>
  <si>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</si>
  <si>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</si>
  <si>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</si>
  <si>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</si>
  <si>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</si>
  <si>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</si>
  <si>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</si>
  <si>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</si>
  <si>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</si>
  <si>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</si>
  <si>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</si>
  <si>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</si>
  <si>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</si>
  <si>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</si>
  <si>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</si>
  <si>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</si>
  <si>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</si>
  <si>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</si>
  <si>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</si>
  <si>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</si>
  <si>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</si>
  <si>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</si>
  <si>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</si>
  <si>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</si>
  <si>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</si>
  <si>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</si>
  <si>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</si>
  <si>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</si>
  <si>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</si>
  <si>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</si>
  <si>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</si>
  <si>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</si>
  <si>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</si>
  <si>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</si>
  <si>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</si>
  <si>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</si>
  <si>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</si>
  <si>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</si>
  <si>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</si>
  <si>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</si>
  <si>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</si>
  <si>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</si>
  <si>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</si>
  <si>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</si>
  <si>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</si>
  <si>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</si>
  <si>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</si>
  <si>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</si>
  <si>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</si>
  <si>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</si>
  <si>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</si>
  <si>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</si>
  <si>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</si>
  <si>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</si>
  <si>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</si>
  <si>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</si>
  <si>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</si>
  <si>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</si>
  <si>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</si>
  <si>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</si>
  <si>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</si>
  <si>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</si>
  <si>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</si>
  <si>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</si>
  <si>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</si>
  <si>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</si>
  <si>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</si>
  <si>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</si>
  <si>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</si>
  <si>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</si>
  <si>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</si>
  <si>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</si>
  <si>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</si>
  <si>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</si>
  <si>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</si>
  <si>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</si>
  <si>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</si>
  <si>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</si>
  <si>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</si>
  <si>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</si>
  <si>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</si>
  <si>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</si>
  <si>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</si>
  <si>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</si>
  <si>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</si>
  <si>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</si>
  <si>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</si>
  <si>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</si>
  <si>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</si>
  <si>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</si>
  <si>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</si>
  <si>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</si>
  <si>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</si>
  <si>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</si>
  <si>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</si>
  <si>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</si>
  <si>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</si>
  <si>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</si>
  <si>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</si>
  <si>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</si>
  <si>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</si>
  <si>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</si>
  <si>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</si>
  <si>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</si>
  <si>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</si>
  <si>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</si>
  <si>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</si>
  <si>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</si>
  <si>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</si>
  <si>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</si>
  <si>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</si>
  <si>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</si>
  <si>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</si>
  <si>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</si>
  <si>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</si>
  <si>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</si>
  <si>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</si>
  <si>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</si>
  <si>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</si>
  <si>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</si>
  <si>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</si>
  <si>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</si>
  <si>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</si>
  <si>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</si>
  <si>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</si>
  <si>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</si>
  <si>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</si>
  <si>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</si>
  <si>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</si>
  <si>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</si>
  <si>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</si>
  <si>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</si>
  <si>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</si>
  <si>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</si>
  <si>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</si>
  <si>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</si>
  <si>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</si>
  <si>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</si>
  <si>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</si>
  <si>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</si>
  <si>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</si>
  <si>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</si>
  <si>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</si>
  <si>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</si>
  <si>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</si>
  <si>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</si>
  <si>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</si>
  <si>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</si>
  <si>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</si>
  <si>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</si>
  <si>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</si>
  <si>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</si>
  <si>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</si>
  <si>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</si>
  <si>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</si>
  <si>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</si>
  <si>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</si>
  <si>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</si>
  <si>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</si>
  <si>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</si>
  <si>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</si>
  <si>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</si>
  <si>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</si>
  <si>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</si>
  <si>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</si>
  <si>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</si>
  <si>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</si>
  <si>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</si>
  <si>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</si>
  <si>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</si>
  <si>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</si>
  <si>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</si>
  <si>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</si>
  <si>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</si>
  <si>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</si>
  <si>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</si>
  <si>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</si>
  <si>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</si>
  <si>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</si>
  <si>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</si>
  <si>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</si>
  <si>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</si>
  <si>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</si>
  <si>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</si>
  <si>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</si>
  <si>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</si>
  <si>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</si>
  <si>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</si>
  <si>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</si>
  <si>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</si>
  <si>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</si>
  <si>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</si>
  <si>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</si>
  <si>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</si>
  <si>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</si>
  <si>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</si>
  <si>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</si>
  <si>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</si>
  <si>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</si>
  <si>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</si>
  <si>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</si>
  <si>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</si>
  <si>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</si>
  <si>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</si>
  <si>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</si>
  <si>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</si>
  <si>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</si>
  <si>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</si>
  <si>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</si>
  <si>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</si>
  <si>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</si>
  <si>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</si>
  <si>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</si>
  <si>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</si>
  <si>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</si>
  <si>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</si>
  <si>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</si>
  <si>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</si>
  <si>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</si>
  <si>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</si>
  <si>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</si>
  <si>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</si>
  <si>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</si>
  <si>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</si>
  <si>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</si>
  <si>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</si>
  <si>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</si>
  <si>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</si>
  <si>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</si>
  <si>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</si>
  <si>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</si>
  <si>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</si>
  <si>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</si>
  <si>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</si>
  <si>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</si>
  <si>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</si>
  <si>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</si>
  <si>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</si>
  <si>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</si>
  <si>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</si>
  <si>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</si>
  <si>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</si>
  <si>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</si>
  <si>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</si>
  <si>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</si>
  <si>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</si>
  <si>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</si>
  <si>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</si>
  <si>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</si>
  <si>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</si>
  <si>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</si>
  <si>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</si>
  <si>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</si>
  <si>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</si>
  <si>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</si>
  <si>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</si>
  <si>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</si>
  <si>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</si>
  <si>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</si>
  <si>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</si>
  <si>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</si>
  <si>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</si>
  <si>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</si>
  <si>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</si>
  <si>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</si>
  <si>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</si>
  <si>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</si>
  <si>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</si>
  <si>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</si>
  <si>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</si>
  <si>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</si>
  <si>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</si>
  <si>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</si>
  <si>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</si>
  <si>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</si>
  <si>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</si>
  <si>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</si>
  <si>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</si>
  <si>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</si>
  <si>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</si>
  <si>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</si>
  <si>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</si>
  <si>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</si>
  <si>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</si>
  <si>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</si>
  <si>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</si>
  <si>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</si>
  <si>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</si>
  <si>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</si>
  <si>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</si>
  <si>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</si>
  <si>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</si>
  <si>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</si>
  <si>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</si>
  <si>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</si>
  <si>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</si>
  <si>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</si>
  <si>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</si>
  <si>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</si>
  <si>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</si>
  <si>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</si>
  <si>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</si>
  <si>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</si>
  <si>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</si>
  <si>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</si>
  <si>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</si>
  <si>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</si>
  <si>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</si>
  <si>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</si>
  <si>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</si>
  <si>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</si>
  <si>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</si>
  <si>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</si>
  <si>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</si>
  <si>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</si>
  <si>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</si>
  <si>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</si>
  <si>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</si>
  <si>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</si>
  <si>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</si>
  <si>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</si>
  <si>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</si>
  <si>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</si>
  <si>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</si>
  <si>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</si>
  <si>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</si>
  <si>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</si>
  <si>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</si>
  <si>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</si>
  <si>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</si>
  <si>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</si>
  <si>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</si>
  <si>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</si>
  <si>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</si>
  <si>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</si>
  <si>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</si>
  <si>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</si>
  <si>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</si>
  <si>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</si>
  <si>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</si>
  <si>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</si>
  <si>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</si>
  <si>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</si>
  <si>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</si>
  <si>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</si>
  <si>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-Infinity</t>
  </si>
  <si>
    <t>JAYLEN PRICE(129799)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</si>
</sst>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82"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1" totalsRowShown="0">
  <autoFilter ref="A1:AP91" xr:uid="{30DB740C-87F1-EE4A-BB0C-BEFC90E92422}"/>
  <tableColumns count="42">
    <tableColumn id="1" xr3:uid="{B0493F91-5679-A948-94FA-8A73741D88E4}" name="District" dataDxfId="81">
      <calculatedColumnFormula>_xlfn.XLOOKUP(Table1[[#This Row],[SAP]],'Location List'!B:B,'Location List'!G:G)</calculatedColumnFormula>
    </tableColumn>
    <tableColumn id="2" xr3:uid="{615C575E-CDA8-5249-A7AF-70D7B002ACCA}" name="SAP" dataDxfId="80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79"/>
    <tableColumn id="6" xr3:uid="{A168D218-D14E-E547-B3B1-A2808F67BF89}" name="Overall Rank" dataDxfId="78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7"/>
    <tableColumn id="10" xr3:uid="{349F7BF2-356F-6348-BCC4-3B3C3AB4E00D}" name="GP Per Labor Hour Tgt" dataDxfId="76"/>
    <tableColumn id="11" xr3:uid="{6D684DE5-7137-5840-97C8-A4863C2FABE2}" name="GP Per Labor Hour %Tgt" dataDxfId="75"/>
    <tableColumn id="12" xr3:uid="{01775AEF-BD87-7A43-BAA8-F13144163089}" name="GP Per Labor Hour Rank" dataDxfId="74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3"/>
    <tableColumn id="16" xr3:uid="{8EB41998-EBB9-E044-9215-0BCF406BBFFB}" name="PP Act Attain Rank" dataDxfId="72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1"/>
    <tableColumn id="20" xr3:uid="{1A4AD9C4-FB16-704D-A94D-FF1A877BDAA0}" name="Rebiz Conv Target" dataDxfId="70"/>
    <tableColumn id="21" xr3:uid="{F2A3AC37-70AE-1F43-BD04-5BAB35B84325}" name="ReBiz Conv %Tgt" dataDxfId="69"/>
    <tableColumn id="22" xr3:uid="{3B169463-A998-094D-8F50-A2D360B78CAB}" name="ReBiz Conv Rank" dataDxfId="68"/>
    <tableColumn id="23" xr3:uid="{D4D05F28-A72F-394F-8F26-79425FF9EF2F}" name="Acc GP Pct Actual" dataDxfId="67"/>
    <tableColumn id="24" xr3:uid="{8296BA4E-3C04-1245-B57E-1FD32987A3C8}" name="Acc GP Pct Rank" dataDxfId="66"/>
    <tableColumn id="25" xr3:uid="{61C2A580-E640-634C-8BC6-F309EA32397E}" name="CSAT Actual"/>
    <tableColumn id="26" xr3:uid="{3EEAE444-B0C2-9B4D-8A36-2692524AF728}" name="CSAT Rank" dataDxfId="65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64"/>
    <tableColumn id="30" xr3:uid="{B89CC8CA-9794-544F-8D9F-2539B39AAF26}" name="Visa Priority Rate Tgt" dataDxfId="63"/>
    <tableColumn id="31" xr3:uid="{8784C1D1-2A00-8B47-99D3-3FC0DF5A52E8}" name="Visa Priority Rate %Tg" dataDxfId="62"/>
    <tableColumn id="32" xr3:uid="{74291987-9F37-944A-9D6E-840AC61C3684}" name="Visa Priority Rate Rank" dataDxfId="61"/>
    <tableColumn id="33" xr3:uid="{BDB0B596-1E32-B742-B2DC-8453C8A0C2A8}" name="Indexed P360 Attach Rate" dataDxfId="60"/>
    <tableColumn id="34" xr3:uid="{FAF8028F-EDCF-FD4F-8CB9-50472D2B4A6A}" name="P360 Attach Rate Tgt" dataDxfId="59"/>
    <tableColumn id="35" xr3:uid="{94E51D17-D033-D94C-9EC9-408C5416E4B5}" name="P360 Attach Rate %Tgt" dataDxfId="58"/>
    <tableColumn id="36" xr3:uid="{BD30D2C8-CAD0-F645-8B7D-6F1A4F94152E}" name="P360 Attach Rate Rank" dataDxfId="57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56"/>
    <tableColumn id="40" xr3:uid="{BABCBED6-E839-1C4E-BEA7-9ABD2F28AEF9}" name="Premium Mix Rate Tgt" dataDxfId="55"/>
    <tableColumn id="41" xr3:uid="{C548EB79-CE5F-7C4B-844C-127942052220}" name="Premium Mix Rate %Tgt" dataDxfId="54"/>
    <tableColumn id="42" xr3:uid="{1FA68684-EB6D-2E46-AB5A-783C10835526}" name="Premium Rate Plan Rank" dataDxfId="5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400" totalsRowShown="0">
  <autoFilter ref="A1:AT400" xr:uid="{30DB740C-87F1-EE4A-BB0C-BEFC90E92422}">
    <filterColumn colId="0">
      <filters>
        <filter val="CENTRAL TEXAS"/>
      </filters>
    </filterColumn>
  </autoFilter>
  <tableColumns count="46">
    <tableColumn id="1" xr3:uid="{9E0A48F7-E071-384A-8790-040D1BBFD94F}" name="District" dataDxfId="52">
      <calculatedColumnFormula>_xlfn.XLOOKUP(Table13[[#This Row],[SAP]],'Location List'!B:B,'Location List'!G:G)</calculatedColumnFormula>
    </tableColumn>
    <tableColumn id="2" xr3:uid="{3EA58E30-F117-5540-B30A-6521C586F021}" name="SAP" dataDxfId="51">
      <calculatedColumnFormula>LEFT(Table13[[#This Row],[Sap: Loaction]],4)</calculatedColumnFormula>
    </tableColumn>
    <tableColumn id="46" xr3:uid="{70B2BE79-E83D-D24E-95D4-16F4F0E82F86}" name="Title" dataDxfId="50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49"/>
    <tableColumn id="6" xr3:uid="{5AC1F87B-2798-0C43-B019-01808F3B6B21}" name="Overall Rank" dataDxfId="48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7"/>
    <tableColumn id="10" xr3:uid="{06F8F153-8B9B-294C-841C-AB3E4DEA9558}" name="GP Per Labor Hour Tgt" dataDxfId="46"/>
    <tableColumn id="11" xr3:uid="{4DA80009-CC42-8846-AF4F-341E591BBACB}" name="GP Per Labor Hour %Tgt" dataDxfId="45"/>
    <tableColumn id="12" xr3:uid="{F398DFAA-F417-3248-83B7-60C2442442A3}" name="GP Per Labor Hour Rank" dataDxfId="44"/>
    <tableColumn id="13" xr3:uid="{58EA25CB-DD44-DC4D-A5B8-AAABB3A8E8FB}" name="ReBiz Acts" dataDxfId="43"/>
    <tableColumn id="14" xr3:uid="{445A6E4C-2104-224A-B648-7512958FCE7A}" name="ReBiz Act Traffic" dataDxfId="42"/>
    <tableColumn id="15" xr3:uid="{BCD21FBD-5ADC-F041-8F42-CF58D57EE9AE}" name="ReBiz Act Conv" dataDxfId="41"/>
    <tableColumn id="16" xr3:uid="{D886712C-54BC-B74F-85B0-7F5CE15B9179}" name="ReBiz Act Conv Tgt" dataDxfId="40"/>
    <tableColumn id="17" xr3:uid="{F7974015-C39D-594A-B93B-A46251073975}" name="ReBiz Act Conv %Tgt" dataDxfId="39"/>
    <tableColumn id="18" xr3:uid="{C0AB2334-DEE1-9D44-A2D6-48826D6B2109}" name="ReBiz Act Conv Rank" dataDxfId="38"/>
    <tableColumn id="19" xr3:uid="{9D07F27F-89C0-1447-916F-F95E76947B91}" name="ReBiz Upgrades" dataDxfId="37"/>
    <tableColumn id="20" xr3:uid="{7209213B-128C-B54D-9FA6-E1F1ED1CDD1B}" name="ReBiz Traffic" dataDxfId="36"/>
    <tableColumn id="21" xr3:uid="{EA5120C4-2C8D-994D-B8FB-5007500C582B}" name="ReBiz Upg Conv" dataDxfId="35"/>
    <tableColumn id="22" xr3:uid="{86B3FDA2-0D4D-8D49-BF0D-CFB9AA7A1540}" name="ReBiz Upg Conv Tgt" dataDxfId="34"/>
    <tableColumn id="23" xr3:uid="{F8D00136-BA3F-F84E-8DCB-C8DD6D766547}" name="ReBiz Upg Conv %Tgt" dataDxfId="33"/>
    <tableColumn id="24" xr3:uid="{8AC2C273-376C-014E-AA47-95CFA7BD9D66}" name="ReBiz Upg Conv Rank" dataDxfId="32"/>
    <tableColumn id="25" xr3:uid="{5A627C4F-D4DD-A144-92C6-664515CFC5FE}" name="Acc Per Phone Actual" dataDxfId="31"/>
    <tableColumn id="26" xr3:uid="{BF28513E-1116-EE4F-B247-AFFC641C990E}" name="Acc Per Phone Rank" dataDxfId="30"/>
    <tableColumn id="27" xr3:uid="{9D15C627-2D89-E746-9260-5218CD5A8EF1}" name="CSAT Actual"/>
    <tableColumn id="28" xr3:uid="{ACA3BA71-8952-6447-84BA-31EAF95F94F0}" name="CSAT Rank" dataDxfId="29"/>
    <tableColumn id="29" xr3:uid="{919C9068-A7D7-3B48-9525-919383AC45A0}" name="Visa Priority Apps" dataDxfId="28"/>
    <tableColumn id="30" xr3:uid="{71D2F67A-5464-A945-B0AC-03F15924FA3D}" name="Visa Priority Interactions" dataDxfId="27"/>
    <tableColumn id="31" xr3:uid="{55A1495C-E4B5-0A4F-9CA1-075DF1625BED}" name="Visa Priority Rate" dataDxfId="26"/>
    <tableColumn id="32" xr3:uid="{1A8A1C4A-0CEA-2846-B94D-6061AEC0BEF8}" name="Visa Priority Rate Tgt" dataDxfId="25"/>
    <tableColumn id="33" xr3:uid="{5E1A0113-0F82-B14A-A0A7-E983DE8F8D8A}" name="Visa Priority Rate %Tg" dataDxfId="24"/>
    <tableColumn id="34" xr3:uid="{8411186F-6784-9447-95E5-0AA3D6900DCC}" name="Visa Priority Rate Rank" dataDxfId="23"/>
    <tableColumn id="35" xr3:uid="{863F9256-F448-9B43-B3D0-CA3AA880BC09}" name="Indexed P360 Attach Rate" dataDxfId="22"/>
    <tableColumn id="36" xr3:uid="{F747F209-7AD7-6448-AFBB-C3CCE3BE7E72}" name="P360 Attach Rate Tgt" dataDxfId="21"/>
    <tableColumn id="37" xr3:uid="{43BA49BE-4B8D-FB4F-A23E-C0B0E6580B7F}" name="P360 Attach Rate %Tgt" dataDxfId="20"/>
    <tableColumn id="38" xr3:uid="{0E526758-1876-8547-87F0-9B7D8510DDAF}" name="P360 Attach Rate Rank" dataDxfId="19"/>
    <tableColumn id="39" xr3:uid="{4F939008-8353-734B-B191-21F205788485}" name="Premium Lines" dataDxfId="18"/>
    <tableColumn id="40" xr3:uid="{897E36FE-726D-8642-831A-E03D995173BF}" name="New Lines" dataDxfId="17"/>
    <tableColumn id="41" xr3:uid="{5FCAFE81-EF12-294C-9244-8672210574EE}" name="Premium Mix Rate" dataDxfId="16"/>
    <tableColumn id="42" xr3:uid="{E3726E1A-2817-6947-9D04-D23280160F72}" name="Premium Mix Rate Tgt" dataDxfId="15"/>
    <tableColumn id="44" xr3:uid="{6C4B8F9C-3D65-4740-BB92-B4DD352686F2}" name="Premium Mix Rate %Tgt" dataDxfId="14"/>
    <tableColumn id="45" xr3:uid="{65C8EFF3-DDEC-994A-8DEB-B8AE4F7E8AA1}" name="Premium Rate Plan Rank" dataDxfId="1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12">
  <autoFilter ref="A1:N94" xr:uid="{00000000-0009-0000-0100-000002000000}"/>
  <tableColumns count="14">
    <tableColumn id="1" xr3:uid="{3FEB6CE3-5B7C-674A-A867-802311C44607}" name="AR Store Name" dataDxfId="11"/>
    <tableColumn id="2" xr3:uid="{50AA75CE-3BB3-D24B-A45F-347258F74836}" name="STORE CODE" dataDxfId="10"/>
    <tableColumn id="3" xr3:uid="{F3EC1DB5-C24C-9D44-BDCF-CDC8835FCE6C}" name="STORE NAME" dataDxfId="9"/>
    <tableColumn id="4" xr3:uid="{A1B2471F-CB7F-AB48-8DCE-A585A025C57E}" name="ADDRESS" dataDxfId="8"/>
    <tableColumn id="5" xr3:uid="{334D88FA-97D1-544E-9FD8-73E4B6049B4B}" name="CITY" dataDxfId="7"/>
    <tableColumn id="6" xr3:uid="{0F89ADE6-F38B-164A-BBF6-895032C31100}" name="STATE" dataDxfId="6"/>
    <tableColumn id="7" xr3:uid="{1F215A0E-6220-7245-8614-DC0C46252518}" name="DISTRICT" dataDxfId="5"/>
    <tableColumn id="8" xr3:uid="{AB2DD164-D502-7943-BC2D-A887C60C00B3}" name="REGION" dataDxfId="4"/>
    <tableColumn id="9" xr3:uid="{997E2F5A-3DCC-594D-8DEC-4A4C5520ADB2}" name="AREA" dataDxfId="3"/>
    <tableColumn id="10" xr3:uid="{9A64CD2B-CAE2-6B40-9A1E-88A2AC3CD2BA}" name="DM" dataDxfId="2"/>
    <tableColumn id="11" xr3:uid="{4DB8EA52-15EB-B345-A378-2BE0CC933B51}" name="RVP" dataDxfId="1"/>
    <tableColumn id="12" xr3:uid="{24C75FC1-3071-9B4B-A2AC-1049CA9B97C4}" name="ADM" dataDxfId="0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1"/>
  <sheetViews>
    <sheetView tabSelected="1" workbookViewId="0">
      <selection activeCell="F23" sqref="F23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973</v>
      </c>
      <c r="D2" t="s">
        <v>498</v>
      </c>
      <c r="E2" s="3">
        <v>1</v>
      </c>
      <c r="F2" s="3">
        <v>22</v>
      </c>
      <c r="G2">
        <v>84.45</v>
      </c>
      <c r="H2" t="s">
        <v>454</v>
      </c>
      <c r="I2" s="6">
        <v>68.103099999999998</v>
      </c>
      <c r="J2" s="6">
        <v>39.999471396687419</v>
      </c>
      <c r="K2" s="5">
        <v>1.7025999999999999</v>
      </c>
      <c r="L2" s="3">
        <v>9</v>
      </c>
      <c r="M2">
        <v>168</v>
      </c>
      <c r="N2">
        <v>116.949</v>
      </c>
      <c r="O2" s="5">
        <v>1.4365000000000001</v>
      </c>
      <c r="P2" s="3">
        <v>58</v>
      </c>
      <c r="Q2">
        <v>207</v>
      </c>
      <c r="R2">
        <v>783</v>
      </c>
      <c r="S2" s="5">
        <v>0.26436781609195403</v>
      </c>
      <c r="T2" s="5">
        <v>0.24000709586196464</v>
      </c>
      <c r="U2" s="5">
        <v>1.1014999999999999</v>
      </c>
      <c r="V2" s="3">
        <v>40</v>
      </c>
      <c r="W2" s="5">
        <v>1.0804947332585482</v>
      </c>
      <c r="X2" s="3">
        <v>155</v>
      </c>
      <c r="Y2">
        <v>9.6522000000000006</v>
      </c>
      <c r="Z2" s="3">
        <v>108</v>
      </c>
      <c r="AA2">
        <v>24</v>
      </c>
      <c r="AB2">
        <v>153</v>
      </c>
      <c r="AC2" s="5">
        <v>0.15686274509803921</v>
      </c>
      <c r="AD2" s="5">
        <v>0.1</v>
      </c>
      <c r="AE2" s="5">
        <v>1.5686</v>
      </c>
      <c r="AF2" s="3">
        <v>64</v>
      </c>
      <c r="AG2" s="5">
        <v>0.5192093333333333</v>
      </c>
      <c r="AH2" s="5">
        <v>0.4</v>
      </c>
      <c r="AI2" s="5">
        <v>1.298</v>
      </c>
      <c r="AJ2" s="3">
        <v>45</v>
      </c>
      <c r="AK2">
        <v>39</v>
      </c>
      <c r="AL2">
        <v>72</v>
      </c>
      <c r="AM2" s="5">
        <v>0.54166666666666663</v>
      </c>
      <c r="AN2" s="5">
        <v>0.8</v>
      </c>
      <c r="AO2" s="5">
        <v>0.67710000000000004</v>
      </c>
      <c r="AP2" s="3">
        <v>280</v>
      </c>
    </row>
    <row r="3" spans="1:42">
      <c r="A3" s="4" t="str">
        <f>_xlfn.XLOOKUP(Table1[[#This Row],[SAP]],'Location List'!B:B,'Location List'!G:G)</f>
        <v>WEST TEXAS</v>
      </c>
      <c r="B3" s="4" t="str">
        <f>LEFT(Table1[[#This Row],[Sap: Loaction]],4)</f>
        <v>1FSX</v>
      </c>
      <c r="C3" t="s">
        <v>973</v>
      </c>
      <c r="D3" t="s">
        <v>517</v>
      </c>
      <c r="E3" s="3">
        <v>1</v>
      </c>
      <c r="F3" s="3">
        <v>31</v>
      </c>
      <c r="G3">
        <v>97.7</v>
      </c>
      <c r="H3" t="s">
        <v>454</v>
      </c>
      <c r="I3" s="6">
        <v>33.407699999999998</v>
      </c>
      <c r="J3" s="6">
        <v>29.999730603448278</v>
      </c>
      <c r="K3" s="5">
        <v>1.1135999999999999</v>
      </c>
      <c r="L3" s="3">
        <v>70</v>
      </c>
      <c r="M3">
        <v>34</v>
      </c>
      <c r="N3">
        <v>24.099</v>
      </c>
      <c r="O3" s="5">
        <v>1.4108000000000001</v>
      </c>
      <c r="P3" s="3">
        <v>64</v>
      </c>
      <c r="Q3">
        <v>51</v>
      </c>
      <c r="R3">
        <v>248</v>
      </c>
      <c r="S3" s="5">
        <v>0.20564516129032259</v>
      </c>
      <c r="T3" s="5">
        <v>0.23998735125489859</v>
      </c>
      <c r="U3" s="5">
        <v>0.8569</v>
      </c>
      <c r="V3" s="3">
        <v>116</v>
      </c>
      <c r="W3" s="5">
        <v>2.1036221793718863</v>
      </c>
      <c r="X3" s="3">
        <v>13</v>
      </c>
      <c r="Y3">
        <v>9.8666999999999998</v>
      </c>
      <c r="Z3" s="3">
        <v>79</v>
      </c>
      <c r="AA3">
        <v>2</v>
      </c>
      <c r="AB3">
        <v>26</v>
      </c>
      <c r="AC3" s="5">
        <v>7.6923076923076927E-2</v>
      </c>
      <c r="AD3" s="5">
        <v>0.1</v>
      </c>
      <c r="AE3" s="5">
        <v>0.76919999999999999</v>
      </c>
      <c r="AF3" s="3">
        <v>166</v>
      </c>
      <c r="AG3" s="5">
        <v>0.37037000000000003</v>
      </c>
      <c r="AH3" s="5">
        <v>0.4</v>
      </c>
      <c r="AI3" s="5">
        <v>0.92589999999999995</v>
      </c>
      <c r="AJ3" s="3">
        <v>154</v>
      </c>
      <c r="AK3">
        <v>12</v>
      </c>
      <c r="AL3">
        <v>13</v>
      </c>
      <c r="AM3" s="5">
        <v>0.92307692307692313</v>
      </c>
      <c r="AN3" s="5">
        <v>0.8</v>
      </c>
      <c r="AO3" s="5">
        <v>1.1537999999999999</v>
      </c>
      <c r="AP3" s="3">
        <v>107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973</v>
      </c>
      <c r="D4" t="s">
        <v>495</v>
      </c>
      <c r="E4" s="3">
        <v>1</v>
      </c>
      <c r="F4" s="3">
        <v>35</v>
      </c>
      <c r="G4">
        <v>98.55</v>
      </c>
      <c r="H4" t="s">
        <v>454</v>
      </c>
      <c r="I4" s="6">
        <v>39.539099999999998</v>
      </c>
      <c r="J4" s="6">
        <v>39.999089529590286</v>
      </c>
      <c r="K4" s="5">
        <v>0.98850000000000005</v>
      </c>
      <c r="L4" s="3">
        <v>93</v>
      </c>
      <c r="M4">
        <v>145</v>
      </c>
      <c r="N4">
        <v>107.73699999999999</v>
      </c>
      <c r="O4" s="5">
        <v>1.3459000000000001</v>
      </c>
      <c r="P4" s="3">
        <v>74</v>
      </c>
      <c r="Q4">
        <v>159</v>
      </c>
      <c r="R4">
        <v>560</v>
      </c>
      <c r="S4" s="5">
        <v>0.28392857142857142</v>
      </c>
      <c r="T4" s="5">
        <v>0.24000724550175098</v>
      </c>
      <c r="U4" s="5">
        <v>1.1830000000000001</v>
      </c>
      <c r="V4" s="3">
        <v>22</v>
      </c>
      <c r="W4" s="5">
        <v>1.2956956546370972</v>
      </c>
      <c r="X4" s="3">
        <v>93</v>
      </c>
      <c r="Y4">
        <v>9.1</v>
      </c>
      <c r="Z4" s="3">
        <v>181</v>
      </c>
      <c r="AA4">
        <v>8</v>
      </c>
      <c r="AB4">
        <v>82</v>
      </c>
      <c r="AC4" s="5">
        <v>9.7560975609756101E-2</v>
      </c>
      <c r="AD4" s="5">
        <v>0.1</v>
      </c>
      <c r="AE4" s="5">
        <v>0.97560000000000002</v>
      </c>
      <c r="AF4" s="3">
        <v>134</v>
      </c>
      <c r="AG4" s="5">
        <v>0.40505033333333335</v>
      </c>
      <c r="AH4" s="5">
        <v>0.4</v>
      </c>
      <c r="AI4" s="5">
        <v>1.0125999999999999</v>
      </c>
      <c r="AJ4" s="3">
        <v>113</v>
      </c>
      <c r="AK4">
        <v>20</v>
      </c>
      <c r="AL4">
        <v>22</v>
      </c>
      <c r="AM4" s="5">
        <v>0.90909090909090906</v>
      </c>
      <c r="AN4" s="5">
        <v>0.8</v>
      </c>
      <c r="AO4" s="5">
        <v>1.1364000000000001</v>
      </c>
      <c r="AP4" s="3">
        <v>114</v>
      </c>
    </row>
    <row r="5" spans="1:42">
      <c r="A5" s="4" t="str">
        <f>_xlfn.XLOOKUP(Table1[[#This Row],[SAP]],'Location List'!B:B,'Location List'!G:G)</f>
        <v>SOUTH TX/RGV</v>
      </c>
      <c r="B5" s="4" t="str">
        <f>LEFT(Table1[[#This Row],[Sap: Loaction]],4)</f>
        <v>536E</v>
      </c>
      <c r="C5" t="s">
        <v>973</v>
      </c>
      <c r="D5" t="s">
        <v>566</v>
      </c>
      <c r="E5" s="3">
        <v>1</v>
      </c>
      <c r="F5" s="3">
        <v>36</v>
      </c>
      <c r="G5">
        <v>100</v>
      </c>
      <c r="H5" t="s">
        <v>454</v>
      </c>
      <c r="I5" s="6">
        <v>28.317</v>
      </c>
      <c r="J5" s="6">
        <v>30</v>
      </c>
      <c r="K5" s="5">
        <v>0.94389999999999996</v>
      </c>
      <c r="L5" s="3">
        <v>103</v>
      </c>
      <c r="M5">
        <v>46</v>
      </c>
      <c r="N5">
        <v>35.088000000000001</v>
      </c>
      <c r="O5" s="5">
        <v>1.3109999999999999</v>
      </c>
      <c r="P5" s="3">
        <v>81</v>
      </c>
      <c r="Q5">
        <v>45</v>
      </c>
      <c r="R5">
        <v>218</v>
      </c>
      <c r="S5" s="5">
        <v>0.20642201834862386</v>
      </c>
      <c r="T5" s="5">
        <v>0.23999769602211821</v>
      </c>
      <c r="U5" s="5">
        <v>0.86009999999999998</v>
      </c>
      <c r="V5" s="3">
        <v>114</v>
      </c>
      <c r="W5" s="5">
        <v>1.5560822475427922</v>
      </c>
      <c r="X5" s="3">
        <v>46</v>
      </c>
      <c r="Y5">
        <v>3.3332999999999999</v>
      </c>
      <c r="Z5" s="3">
        <v>347</v>
      </c>
      <c r="AA5">
        <v>5</v>
      </c>
      <c r="AB5">
        <v>41</v>
      </c>
      <c r="AC5" s="5">
        <v>0.12195121951219512</v>
      </c>
      <c r="AD5" s="5">
        <v>0.1</v>
      </c>
      <c r="AE5" s="5">
        <v>1.2195</v>
      </c>
      <c r="AF5" s="3">
        <v>100</v>
      </c>
      <c r="AG5" s="5">
        <v>0.67777766666666661</v>
      </c>
      <c r="AH5" s="5">
        <v>0.4</v>
      </c>
      <c r="AI5" s="5">
        <v>1.6943999999999999</v>
      </c>
      <c r="AJ5" s="3">
        <v>9</v>
      </c>
      <c r="AK5">
        <v>8</v>
      </c>
      <c r="AL5">
        <v>8</v>
      </c>
      <c r="AM5" s="5">
        <v>1</v>
      </c>
      <c r="AN5" s="5">
        <v>0.8</v>
      </c>
      <c r="AO5" s="5">
        <v>1.25</v>
      </c>
      <c r="AP5" s="3">
        <v>1</v>
      </c>
    </row>
    <row r="6" spans="1:42">
      <c r="A6" s="4" t="str">
        <f>_xlfn.XLOOKUP(Table1[[#This Row],[SAP]],'Location List'!B:B,'Location List'!G:G)</f>
        <v>MO/IA/NE</v>
      </c>
      <c r="B6" s="4" t="str">
        <f>LEFT(Table1[[#This Row],[Sap: Loaction]],4)</f>
        <v>4ASM</v>
      </c>
      <c r="C6" t="s">
        <v>973</v>
      </c>
      <c r="D6" t="s">
        <v>492</v>
      </c>
      <c r="E6" s="3">
        <v>1</v>
      </c>
      <c r="F6" s="3">
        <v>39</v>
      </c>
      <c r="G6">
        <v>104.15</v>
      </c>
      <c r="H6" t="s">
        <v>454</v>
      </c>
      <c r="I6" s="6">
        <v>61.090899999999998</v>
      </c>
      <c r="J6" s="6">
        <v>39.999279774765924</v>
      </c>
      <c r="K6" s="5">
        <v>1.5273000000000001</v>
      </c>
      <c r="L6" s="3">
        <v>18</v>
      </c>
      <c r="M6">
        <v>109</v>
      </c>
      <c r="N6">
        <v>65.558999999999997</v>
      </c>
      <c r="O6" s="5">
        <v>1.6626000000000001</v>
      </c>
      <c r="P6" s="3">
        <v>20</v>
      </c>
      <c r="Q6">
        <v>145</v>
      </c>
      <c r="R6">
        <v>515</v>
      </c>
      <c r="S6" s="5">
        <v>0.28155339805825241</v>
      </c>
      <c r="T6" s="5">
        <v>0.24000801130189447</v>
      </c>
      <c r="U6" s="5">
        <v>1.1731</v>
      </c>
      <c r="V6" s="3">
        <v>23</v>
      </c>
      <c r="W6" s="5">
        <v>1.1337437390416574</v>
      </c>
      <c r="X6" s="3">
        <v>138</v>
      </c>
      <c r="Y6">
        <v>9.0417000000000005</v>
      </c>
      <c r="Z6" s="3">
        <v>195</v>
      </c>
      <c r="AA6">
        <v>6</v>
      </c>
      <c r="AB6">
        <v>108</v>
      </c>
      <c r="AC6" s="5">
        <v>5.5555555555555552E-2</v>
      </c>
      <c r="AD6" s="5">
        <v>0.1</v>
      </c>
      <c r="AE6" s="5">
        <v>0.55559999999999998</v>
      </c>
      <c r="AF6" s="3">
        <v>210</v>
      </c>
      <c r="AG6" s="5">
        <v>0.2988096666666667</v>
      </c>
      <c r="AH6" s="5">
        <v>0.4</v>
      </c>
      <c r="AI6" s="5">
        <v>0.747</v>
      </c>
      <c r="AJ6" s="3">
        <v>212</v>
      </c>
      <c r="AK6">
        <v>26</v>
      </c>
      <c r="AL6">
        <v>27</v>
      </c>
      <c r="AM6" s="5">
        <v>0.96296296296296291</v>
      </c>
      <c r="AN6" s="5">
        <v>0.8</v>
      </c>
      <c r="AO6" s="5">
        <v>1.2037</v>
      </c>
      <c r="AP6" s="3">
        <v>90</v>
      </c>
    </row>
    <row r="7" spans="1:42">
      <c r="A7" s="4" t="str">
        <f>_xlfn.XLOOKUP(Table1[[#This Row],[SAP]],'Location List'!B:B,'Location List'!G:G)</f>
        <v>KS/OK</v>
      </c>
      <c r="B7" s="4" t="str">
        <f>LEFT(Table1[[#This Row],[Sap: Loaction]],4)</f>
        <v>407D</v>
      </c>
      <c r="C7" t="s">
        <v>973</v>
      </c>
      <c r="D7" t="s">
        <v>556</v>
      </c>
      <c r="E7" s="3">
        <v>1</v>
      </c>
      <c r="F7" s="3">
        <v>41</v>
      </c>
      <c r="G7">
        <v>106.55</v>
      </c>
      <c r="H7" t="s">
        <v>454</v>
      </c>
      <c r="I7" s="6">
        <v>56.781199999999998</v>
      </c>
      <c r="J7" s="6">
        <v>40.000845368087354</v>
      </c>
      <c r="K7" s="5">
        <v>1.4195</v>
      </c>
      <c r="L7" s="3">
        <v>24</v>
      </c>
      <c r="M7">
        <v>129</v>
      </c>
      <c r="N7">
        <v>85.766999999999996</v>
      </c>
      <c r="O7" s="5">
        <v>1.5041</v>
      </c>
      <c r="P7" s="3">
        <v>44</v>
      </c>
      <c r="Q7">
        <v>120</v>
      </c>
      <c r="R7">
        <v>656</v>
      </c>
      <c r="S7" s="5">
        <v>0.18292682926829268</v>
      </c>
      <c r="T7" s="5">
        <v>0.23999846400983033</v>
      </c>
      <c r="U7" s="5">
        <v>0.76219999999999999</v>
      </c>
      <c r="V7" s="3">
        <v>160</v>
      </c>
      <c r="W7" s="5">
        <v>1.6804184506231168</v>
      </c>
      <c r="X7" s="3">
        <v>35</v>
      </c>
      <c r="Y7">
        <v>9.2581000000000007</v>
      </c>
      <c r="Z7" s="3">
        <v>159</v>
      </c>
      <c r="AA7">
        <v>10</v>
      </c>
      <c r="AB7">
        <v>138</v>
      </c>
      <c r="AC7" s="5">
        <v>7.2463768115942032E-2</v>
      </c>
      <c r="AD7" s="5">
        <v>0.1</v>
      </c>
      <c r="AE7" s="5">
        <v>0.72460000000000002</v>
      </c>
      <c r="AF7" s="3">
        <v>183</v>
      </c>
      <c r="AG7" s="5">
        <v>0.47055533333333338</v>
      </c>
      <c r="AH7" s="5">
        <v>0.4</v>
      </c>
      <c r="AI7" s="5">
        <v>1.1763999999999999</v>
      </c>
      <c r="AJ7" s="3">
        <v>64</v>
      </c>
      <c r="AK7">
        <v>27</v>
      </c>
      <c r="AL7">
        <v>36</v>
      </c>
      <c r="AM7" s="5">
        <v>0.75</v>
      </c>
      <c r="AN7" s="5">
        <v>0.8</v>
      </c>
      <c r="AO7" s="5">
        <v>0.9375</v>
      </c>
      <c r="AP7" s="3">
        <v>191</v>
      </c>
    </row>
    <row r="8" spans="1:42">
      <c r="A8" s="4" t="str">
        <f>_xlfn.XLOOKUP(Table1[[#This Row],[SAP]],'Location List'!B:B,'Location List'!G:G)</f>
        <v>SA SOUTH</v>
      </c>
      <c r="B8" s="4" t="str">
        <f>LEFT(Table1[[#This Row],[Sap: Loaction]],4)</f>
        <v>1ESL</v>
      </c>
      <c r="C8" t="s">
        <v>973</v>
      </c>
      <c r="D8" t="s">
        <v>519</v>
      </c>
      <c r="E8" s="3">
        <v>1</v>
      </c>
      <c r="F8" s="3">
        <v>44</v>
      </c>
      <c r="G8">
        <v>107</v>
      </c>
      <c r="H8" t="s">
        <v>454</v>
      </c>
      <c r="I8" s="6">
        <v>16.487100000000002</v>
      </c>
      <c r="J8" s="6">
        <v>34.99702823179792</v>
      </c>
      <c r="K8" s="5">
        <v>0.47110000000000002</v>
      </c>
      <c r="L8" s="3">
        <v>248</v>
      </c>
      <c r="M8">
        <v>68</v>
      </c>
      <c r="N8">
        <v>53.868000000000002</v>
      </c>
      <c r="O8" s="5">
        <v>1.2623</v>
      </c>
      <c r="P8" s="3">
        <v>95</v>
      </c>
      <c r="Q8">
        <v>73</v>
      </c>
      <c r="R8">
        <v>402</v>
      </c>
      <c r="S8" s="5">
        <v>0.18159203980099503</v>
      </c>
      <c r="T8" s="5">
        <v>0.18000796966791738</v>
      </c>
      <c r="U8" s="5">
        <v>1.0087999999999999</v>
      </c>
      <c r="V8" s="3">
        <v>62</v>
      </c>
      <c r="W8" s="5">
        <v>1.3223696188230631</v>
      </c>
      <c r="X8" s="3">
        <v>89</v>
      </c>
      <c r="Y8">
        <v>10</v>
      </c>
      <c r="Z8" s="3">
        <v>1</v>
      </c>
      <c r="AA8">
        <v>4</v>
      </c>
      <c r="AB8">
        <v>12</v>
      </c>
      <c r="AC8" s="5">
        <v>0.33333333333333331</v>
      </c>
      <c r="AD8" s="5">
        <v>0.1</v>
      </c>
      <c r="AE8" s="5">
        <v>3.3332999999999999</v>
      </c>
      <c r="AF8" s="3">
        <v>13</v>
      </c>
      <c r="AG8" s="5">
        <v>0.46969666666666665</v>
      </c>
      <c r="AH8" s="5">
        <v>0.4</v>
      </c>
      <c r="AI8" s="5">
        <v>1.1741999999999999</v>
      </c>
      <c r="AJ8" s="3">
        <v>66</v>
      </c>
      <c r="AK8">
        <v>13</v>
      </c>
      <c r="AL8">
        <v>25</v>
      </c>
      <c r="AM8" s="5">
        <v>0.52</v>
      </c>
      <c r="AN8" s="5">
        <v>0.8</v>
      </c>
      <c r="AO8" s="5">
        <v>0.65</v>
      </c>
      <c r="AP8" s="3">
        <v>287</v>
      </c>
    </row>
    <row r="9" spans="1:42">
      <c r="A9" s="4" t="str">
        <f>_xlfn.XLOOKUP(Table1[[#This Row],[SAP]],'Location List'!B:B,'Location List'!G:G)</f>
        <v>DFW NORTH</v>
      </c>
      <c r="B9" s="4" t="str">
        <f>LEFT(Table1[[#This Row],[Sap: Loaction]],4)</f>
        <v>1CSM</v>
      </c>
      <c r="C9" t="s">
        <v>973</v>
      </c>
      <c r="D9" t="s">
        <v>510</v>
      </c>
      <c r="E9" s="3">
        <v>1</v>
      </c>
      <c r="F9" s="3">
        <v>45</v>
      </c>
      <c r="G9">
        <v>107.05</v>
      </c>
      <c r="H9" t="s">
        <v>454</v>
      </c>
      <c r="I9" s="6">
        <v>53.104999999999997</v>
      </c>
      <c r="J9" s="6">
        <v>34.999670467277397</v>
      </c>
      <c r="K9" s="5">
        <v>1.5173000000000001</v>
      </c>
      <c r="L9" s="3">
        <v>19</v>
      </c>
      <c r="M9">
        <v>45.5</v>
      </c>
      <c r="N9">
        <v>43.593000000000004</v>
      </c>
      <c r="O9" s="5">
        <v>1.0437000000000001</v>
      </c>
      <c r="P9" s="3">
        <v>159</v>
      </c>
      <c r="Q9">
        <v>59</v>
      </c>
      <c r="R9">
        <v>334</v>
      </c>
      <c r="S9" s="5">
        <v>0.17664670658682635</v>
      </c>
      <c r="T9" s="5">
        <v>0.24000911221036189</v>
      </c>
      <c r="U9" s="5">
        <v>0.73599999999999999</v>
      </c>
      <c r="V9" s="3">
        <v>172</v>
      </c>
      <c r="W9" s="5">
        <v>1.1894395933696569</v>
      </c>
      <c r="X9" s="3">
        <v>120</v>
      </c>
      <c r="Y9">
        <v>10</v>
      </c>
      <c r="Z9" s="3">
        <v>1</v>
      </c>
      <c r="AA9">
        <v>3</v>
      </c>
      <c r="AB9">
        <v>71</v>
      </c>
      <c r="AC9" s="5">
        <v>4.2253521126760563E-2</v>
      </c>
      <c r="AD9" s="5">
        <v>0.1</v>
      </c>
      <c r="AE9" s="5">
        <v>0.42249999999999999</v>
      </c>
      <c r="AF9" s="3">
        <v>235</v>
      </c>
      <c r="AG9" s="5">
        <v>0.456876</v>
      </c>
      <c r="AH9" s="5">
        <v>0.4</v>
      </c>
      <c r="AI9" s="5">
        <v>1.1422000000000001</v>
      </c>
      <c r="AJ9" s="3">
        <v>71</v>
      </c>
      <c r="AK9">
        <v>13</v>
      </c>
      <c r="AL9">
        <v>13</v>
      </c>
      <c r="AM9" s="5">
        <v>1</v>
      </c>
      <c r="AN9" s="5">
        <v>0.8</v>
      </c>
      <c r="AO9" s="5">
        <v>1.25</v>
      </c>
      <c r="AP9" s="3">
        <v>1</v>
      </c>
    </row>
    <row r="10" spans="1:42">
      <c r="A10" s="4" t="str">
        <f>_xlfn.XLOOKUP(Table1[[#This Row],[SAP]],'Location List'!B:B,'Location List'!G:G)</f>
        <v>SOUTH TX/RGV</v>
      </c>
      <c r="B10" s="4" t="str">
        <f>LEFT(Table1[[#This Row],[Sap: Loaction]],4)</f>
        <v>200E</v>
      </c>
      <c r="C10" t="s">
        <v>973</v>
      </c>
      <c r="D10" t="s">
        <v>543</v>
      </c>
      <c r="E10" s="3">
        <v>1</v>
      </c>
      <c r="F10" s="3">
        <v>46</v>
      </c>
      <c r="G10">
        <v>107.85</v>
      </c>
      <c r="H10" t="s">
        <v>454</v>
      </c>
      <c r="I10" s="6">
        <v>41.223500000000001</v>
      </c>
      <c r="J10" s="6">
        <v>39.999514845720945</v>
      </c>
      <c r="K10" s="5">
        <v>1.0306</v>
      </c>
      <c r="L10" s="3">
        <v>87</v>
      </c>
      <c r="M10">
        <v>88</v>
      </c>
      <c r="N10">
        <v>73.712000000000003</v>
      </c>
      <c r="O10" s="5">
        <v>1.1938</v>
      </c>
      <c r="P10" s="3">
        <v>113</v>
      </c>
      <c r="Q10">
        <v>99</v>
      </c>
      <c r="R10">
        <v>392</v>
      </c>
      <c r="S10" s="5">
        <v>0.25255102040816324</v>
      </c>
      <c r="T10" s="5">
        <v>0.23999906909451985</v>
      </c>
      <c r="U10" s="5">
        <v>1.0523</v>
      </c>
      <c r="V10" s="3">
        <v>51</v>
      </c>
      <c r="W10" s="5">
        <v>1.0571264736930568</v>
      </c>
      <c r="X10" s="3">
        <v>169</v>
      </c>
      <c r="Y10">
        <v>9.3683999999999994</v>
      </c>
      <c r="Z10" s="3">
        <v>141</v>
      </c>
      <c r="AA10">
        <v>12</v>
      </c>
      <c r="AB10">
        <v>88</v>
      </c>
      <c r="AC10" s="5">
        <v>0.13636363636363635</v>
      </c>
      <c r="AD10" s="5">
        <v>0.1</v>
      </c>
      <c r="AE10" s="5">
        <v>1.3635999999999999</v>
      </c>
      <c r="AF10" s="3">
        <v>80</v>
      </c>
      <c r="AG10" s="5">
        <v>0.53597866666666671</v>
      </c>
      <c r="AH10" s="5">
        <v>0.4</v>
      </c>
      <c r="AI10" s="5">
        <v>1.3399000000000001</v>
      </c>
      <c r="AJ10" s="3">
        <v>42</v>
      </c>
      <c r="AK10">
        <v>14</v>
      </c>
      <c r="AL10">
        <v>21</v>
      </c>
      <c r="AM10" s="5">
        <v>0.66666666666666663</v>
      </c>
      <c r="AN10" s="5">
        <v>0.8</v>
      </c>
      <c r="AO10" s="5">
        <v>0.83330000000000004</v>
      </c>
      <c r="AP10" s="3">
        <v>230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586D</v>
      </c>
      <c r="C11" t="s">
        <v>973</v>
      </c>
      <c r="D11" t="s">
        <v>507</v>
      </c>
      <c r="E11" s="3">
        <v>1</v>
      </c>
      <c r="F11" s="3">
        <v>62</v>
      </c>
      <c r="G11">
        <v>118.4</v>
      </c>
      <c r="H11" t="s">
        <v>454</v>
      </c>
      <c r="I11" s="6">
        <v>38.831699999999998</v>
      </c>
      <c r="J11" s="6">
        <v>39.999690976514216</v>
      </c>
      <c r="K11" s="5">
        <v>0.9708</v>
      </c>
      <c r="L11" s="3">
        <v>97</v>
      </c>
      <c r="M11">
        <v>109</v>
      </c>
      <c r="N11">
        <v>66.272000000000006</v>
      </c>
      <c r="O11" s="5">
        <v>1.6447000000000001</v>
      </c>
      <c r="P11" s="3">
        <v>24</v>
      </c>
      <c r="Q11">
        <v>90</v>
      </c>
      <c r="R11">
        <v>584</v>
      </c>
      <c r="S11" s="5">
        <v>0.1541095890410959</v>
      </c>
      <c r="T11" s="5">
        <v>0.24000870431567653</v>
      </c>
      <c r="U11" s="5">
        <v>0.6421</v>
      </c>
      <c r="V11" s="3">
        <v>235</v>
      </c>
      <c r="W11" s="5">
        <v>1.0528390588312506</v>
      </c>
      <c r="X11" s="3">
        <v>171</v>
      </c>
      <c r="Y11">
        <v>9.56</v>
      </c>
      <c r="Z11" s="3">
        <v>121</v>
      </c>
      <c r="AA11">
        <v>8</v>
      </c>
      <c r="AB11">
        <v>76</v>
      </c>
      <c r="AC11" s="5">
        <v>0.10526315789473684</v>
      </c>
      <c r="AD11" s="5">
        <v>0.1</v>
      </c>
      <c r="AE11" s="5">
        <v>1.0526</v>
      </c>
      <c r="AF11" s="3">
        <v>122</v>
      </c>
      <c r="AG11" s="5">
        <v>0.571658</v>
      </c>
      <c r="AH11" s="5">
        <v>0.4</v>
      </c>
      <c r="AI11" s="5">
        <v>1.4291</v>
      </c>
      <c r="AJ11" s="3">
        <v>32</v>
      </c>
      <c r="AK11">
        <v>6</v>
      </c>
      <c r="AL11">
        <v>7</v>
      </c>
      <c r="AM11" s="5">
        <v>0.8571428571428571</v>
      </c>
      <c r="AN11" s="5">
        <v>0.8</v>
      </c>
      <c r="AO11" s="5">
        <v>1.0713999999999999</v>
      </c>
      <c r="AP11" s="3">
        <v>143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4DSC</v>
      </c>
      <c r="C12" t="s">
        <v>973</v>
      </c>
      <c r="D12" t="s">
        <v>528</v>
      </c>
      <c r="E12" s="3">
        <v>1</v>
      </c>
      <c r="F12" s="3">
        <v>64</v>
      </c>
      <c r="G12">
        <v>120</v>
      </c>
      <c r="H12" t="s">
        <v>454</v>
      </c>
      <c r="I12" s="6">
        <v>55.733899999999998</v>
      </c>
      <c r="J12" s="6">
        <v>34.999937201708114</v>
      </c>
      <c r="K12" s="5">
        <v>1.5924</v>
      </c>
      <c r="L12" s="3">
        <v>12</v>
      </c>
      <c r="M12">
        <v>73</v>
      </c>
      <c r="N12">
        <v>59.183999999999997</v>
      </c>
      <c r="O12" s="5">
        <v>1.2334000000000001</v>
      </c>
      <c r="P12" s="3">
        <v>103</v>
      </c>
      <c r="Q12">
        <v>86</v>
      </c>
      <c r="R12">
        <v>338</v>
      </c>
      <c r="S12" s="5">
        <v>0.25443786982248523</v>
      </c>
      <c r="T12" s="5">
        <v>0.23999044503158387</v>
      </c>
      <c r="U12" s="5">
        <v>1.0602</v>
      </c>
      <c r="V12" s="3">
        <v>48</v>
      </c>
      <c r="W12" s="5">
        <v>1.2456465419347795</v>
      </c>
      <c r="X12" s="3">
        <v>105</v>
      </c>
      <c r="Y12">
        <v>9.3332999999999995</v>
      </c>
      <c r="Z12" s="3">
        <v>146</v>
      </c>
      <c r="AA12">
        <v>4</v>
      </c>
      <c r="AB12">
        <v>66</v>
      </c>
      <c r="AC12" s="5">
        <v>6.0606060606060608E-2</v>
      </c>
      <c r="AD12" s="5">
        <v>0.1</v>
      </c>
      <c r="AE12" s="5">
        <v>0.60609999999999997</v>
      </c>
      <c r="AF12" s="3">
        <v>199</v>
      </c>
      <c r="AG12" s="5">
        <v>0.34102533333333335</v>
      </c>
      <c r="AH12" s="5">
        <v>0.4</v>
      </c>
      <c r="AI12" s="5">
        <v>0.85260000000000002</v>
      </c>
      <c r="AJ12" s="3">
        <v>177</v>
      </c>
      <c r="AK12">
        <v>13</v>
      </c>
      <c r="AL12">
        <v>19</v>
      </c>
      <c r="AM12" s="5">
        <v>0.68421052631578949</v>
      </c>
      <c r="AN12" s="5">
        <v>0.8</v>
      </c>
      <c r="AO12" s="5">
        <v>0.85529999999999995</v>
      </c>
      <c r="AP12" s="3">
        <v>229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990F</v>
      </c>
      <c r="C13" t="s">
        <v>973</v>
      </c>
      <c r="D13" t="s">
        <v>522</v>
      </c>
      <c r="E13" s="3">
        <v>1</v>
      </c>
      <c r="F13" s="3">
        <v>67</v>
      </c>
      <c r="G13">
        <v>120.4</v>
      </c>
      <c r="H13" t="s">
        <v>454</v>
      </c>
      <c r="I13" s="6">
        <v>23.1447</v>
      </c>
      <c r="J13" s="6">
        <v>40.001209816799168</v>
      </c>
      <c r="K13" s="5">
        <v>0.5786</v>
      </c>
      <c r="L13" s="3">
        <v>209</v>
      </c>
      <c r="M13">
        <v>91</v>
      </c>
      <c r="N13">
        <v>85.054000000000002</v>
      </c>
      <c r="O13" s="5">
        <v>1.0699000000000001</v>
      </c>
      <c r="P13" s="3">
        <v>153</v>
      </c>
      <c r="Q13">
        <v>121</v>
      </c>
      <c r="R13">
        <v>468</v>
      </c>
      <c r="S13" s="5">
        <v>0.25854700854700857</v>
      </c>
      <c r="T13" s="5">
        <v>0.23999536670101976</v>
      </c>
      <c r="U13" s="5">
        <v>1.0772999999999999</v>
      </c>
      <c r="V13" s="3">
        <v>43</v>
      </c>
      <c r="W13" s="5">
        <v>1.8481700673443358</v>
      </c>
      <c r="X13" s="3">
        <v>23</v>
      </c>
      <c r="Y13">
        <v>8.2222000000000008</v>
      </c>
      <c r="Z13" s="3">
        <v>278</v>
      </c>
      <c r="AA13">
        <v>8</v>
      </c>
      <c r="AB13">
        <v>66</v>
      </c>
      <c r="AC13" s="5">
        <v>0.12121212121212122</v>
      </c>
      <c r="AD13" s="5">
        <v>0.1</v>
      </c>
      <c r="AE13" s="5">
        <v>1.2121</v>
      </c>
      <c r="AF13" s="3">
        <v>101</v>
      </c>
      <c r="AG13" s="5">
        <v>0.37797600000000003</v>
      </c>
      <c r="AH13" s="5">
        <v>0.4</v>
      </c>
      <c r="AI13" s="5">
        <v>0.94489999999999996</v>
      </c>
      <c r="AJ13" s="3">
        <v>143</v>
      </c>
      <c r="AK13">
        <v>12</v>
      </c>
      <c r="AL13">
        <v>12</v>
      </c>
      <c r="AM13" s="5">
        <v>1</v>
      </c>
      <c r="AN13" s="5">
        <v>0.8</v>
      </c>
      <c r="AO13" s="5">
        <v>1.25</v>
      </c>
      <c r="AP13" s="3">
        <v>1</v>
      </c>
    </row>
    <row r="14" spans="1:42">
      <c r="A14" s="4" t="str">
        <f>_xlfn.XLOOKUP(Table1[[#This Row],[SAP]],'Location List'!B:B,'Location List'!G:G)</f>
        <v>CENTRAL TEXAS</v>
      </c>
      <c r="B14" s="4" t="str">
        <f>LEFT(Table1[[#This Row],[Sap: Loaction]],4)</f>
        <v>1DSG</v>
      </c>
      <c r="C14" t="s">
        <v>973</v>
      </c>
      <c r="D14" t="s">
        <v>565</v>
      </c>
      <c r="E14" s="3">
        <v>2</v>
      </c>
      <c r="F14" s="3">
        <v>83</v>
      </c>
      <c r="G14">
        <v>130.94999999999999</v>
      </c>
      <c r="H14" t="s">
        <v>454</v>
      </c>
      <c r="I14" s="6">
        <v>28.468800000000002</v>
      </c>
      <c r="J14" s="6">
        <v>29.998735511064282</v>
      </c>
      <c r="K14" s="5">
        <v>0.94899999999999995</v>
      </c>
      <c r="L14" s="3">
        <v>102</v>
      </c>
      <c r="M14">
        <v>34</v>
      </c>
      <c r="N14">
        <v>32.957999999999998</v>
      </c>
      <c r="O14" s="5">
        <v>1.0316000000000001</v>
      </c>
      <c r="P14" s="3">
        <v>164</v>
      </c>
      <c r="Q14">
        <v>48</v>
      </c>
      <c r="R14">
        <v>260</v>
      </c>
      <c r="S14" s="5">
        <v>0.18461538461538463</v>
      </c>
      <c r="T14" s="5">
        <v>0.24000960038401536</v>
      </c>
      <c r="U14" s="5">
        <v>0.76919999999999999</v>
      </c>
      <c r="V14" s="3">
        <v>154</v>
      </c>
      <c r="W14" s="5">
        <v>0.80548933302955539</v>
      </c>
      <c r="X14" s="3">
        <v>263</v>
      </c>
      <c r="Y14">
        <v>9.7142999999999997</v>
      </c>
      <c r="Z14" s="3">
        <v>101</v>
      </c>
      <c r="AA14">
        <v>4</v>
      </c>
      <c r="AB14">
        <v>27</v>
      </c>
      <c r="AC14" s="5">
        <v>0.14814814814814814</v>
      </c>
      <c r="AD14" s="5">
        <v>0.1</v>
      </c>
      <c r="AE14" s="5">
        <v>1.4815</v>
      </c>
      <c r="AF14" s="3">
        <v>71</v>
      </c>
      <c r="AG14" s="5">
        <v>0.4457066666666667</v>
      </c>
      <c r="AH14" s="5">
        <v>0.4</v>
      </c>
      <c r="AI14" s="5">
        <v>1.1143000000000001</v>
      </c>
      <c r="AJ14" s="3">
        <v>77</v>
      </c>
      <c r="AK14">
        <v>7</v>
      </c>
      <c r="AL14">
        <v>8</v>
      </c>
      <c r="AM14" s="5">
        <v>0.875</v>
      </c>
      <c r="AN14" s="5">
        <v>0.8</v>
      </c>
      <c r="AO14" s="5">
        <v>1.0938000000000001</v>
      </c>
      <c r="AP14" s="3">
        <v>132</v>
      </c>
    </row>
    <row r="15" spans="1:42">
      <c r="A15" s="4" t="str">
        <f>_xlfn.XLOOKUP(Table1[[#This Row],[SAP]],'Location List'!B:B,'Location List'!G:G)</f>
        <v>MO/IA/NE</v>
      </c>
      <c r="B15" s="4" t="str">
        <f>LEFT(Table1[[#This Row],[Sap: Loaction]],4)</f>
        <v>3ISR</v>
      </c>
      <c r="C15" t="s">
        <v>973</v>
      </c>
      <c r="D15" t="s">
        <v>493</v>
      </c>
      <c r="E15" s="3">
        <v>2</v>
      </c>
      <c r="F15" s="3">
        <v>85</v>
      </c>
      <c r="G15">
        <v>132.85</v>
      </c>
      <c r="H15" t="s">
        <v>454</v>
      </c>
      <c r="I15" s="6">
        <v>47.820099999999996</v>
      </c>
      <c r="J15" s="6">
        <v>40.000083647009617</v>
      </c>
      <c r="K15" s="5">
        <v>1.1955</v>
      </c>
      <c r="L15" s="3">
        <v>51</v>
      </c>
      <c r="M15">
        <v>116</v>
      </c>
      <c r="N15">
        <v>97.811999999999998</v>
      </c>
      <c r="O15" s="5">
        <v>1.1859</v>
      </c>
      <c r="P15" s="3">
        <v>114</v>
      </c>
      <c r="Q15">
        <v>106</v>
      </c>
      <c r="R15">
        <v>480</v>
      </c>
      <c r="S15" s="5">
        <v>0.22083333333333333</v>
      </c>
      <c r="T15" s="5">
        <v>0.24001014382494654</v>
      </c>
      <c r="U15" s="5">
        <v>0.92010000000000003</v>
      </c>
      <c r="V15" s="3">
        <v>92</v>
      </c>
      <c r="W15" s="5">
        <v>1.2769468561502846</v>
      </c>
      <c r="X15" s="3">
        <v>99</v>
      </c>
      <c r="Y15">
        <v>6.3158000000000003</v>
      </c>
      <c r="Z15" s="3">
        <v>341</v>
      </c>
      <c r="AA15">
        <v>9</v>
      </c>
      <c r="AB15">
        <v>97</v>
      </c>
      <c r="AC15" s="5">
        <v>9.2783505154639179E-2</v>
      </c>
      <c r="AD15" s="5">
        <v>0.1</v>
      </c>
      <c r="AE15" s="5">
        <v>0.92779999999999996</v>
      </c>
      <c r="AF15" s="3">
        <v>144</v>
      </c>
      <c r="AG15" s="5">
        <v>0.58725799999999995</v>
      </c>
      <c r="AH15" s="5">
        <v>0.4</v>
      </c>
      <c r="AI15" s="5">
        <v>1.4681</v>
      </c>
      <c r="AJ15" s="3">
        <v>28</v>
      </c>
      <c r="AK15">
        <v>12</v>
      </c>
      <c r="AL15">
        <v>20</v>
      </c>
      <c r="AM15" s="5">
        <v>0.6</v>
      </c>
      <c r="AN15" s="5">
        <v>0.8</v>
      </c>
      <c r="AO15" s="5">
        <v>0.75</v>
      </c>
      <c r="AP15" s="3">
        <v>259</v>
      </c>
    </row>
    <row r="16" spans="1:42">
      <c r="A16" s="4" t="str">
        <f>_xlfn.XLOOKUP(Table1[[#This Row],[SAP]],'Location List'!B:B,'Location List'!G:G)</f>
        <v>KS/OK</v>
      </c>
      <c r="B16" s="4" t="str">
        <f>LEFT(Table1[[#This Row],[Sap: Loaction]],4)</f>
        <v>966D</v>
      </c>
      <c r="C16" t="s">
        <v>973</v>
      </c>
      <c r="D16" t="s">
        <v>499</v>
      </c>
      <c r="E16" s="3">
        <v>2</v>
      </c>
      <c r="F16" s="3">
        <v>86</v>
      </c>
      <c r="G16">
        <v>133.4</v>
      </c>
      <c r="H16" t="s">
        <v>454</v>
      </c>
      <c r="I16" s="6">
        <v>33.308</v>
      </c>
      <c r="J16" s="6">
        <v>40</v>
      </c>
      <c r="K16" s="5">
        <v>0.8327</v>
      </c>
      <c r="L16" s="3">
        <v>132</v>
      </c>
      <c r="M16">
        <v>135</v>
      </c>
      <c r="N16">
        <v>91.435000000000002</v>
      </c>
      <c r="O16" s="5">
        <v>1.4764999999999999</v>
      </c>
      <c r="P16" s="3">
        <v>48</v>
      </c>
      <c r="Q16">
        <v>136</v>
      </c>
      <c r="R16">
        <v>564</v>
      </c>
      <c r="S16" s="5">
        <v>0.24113475177304963</v>
      </c>
      <c r="T16" s="5">
        <v>0.24000672018816527</v>
      </c>
      <c r="U16" s="5">
        <v>1.0046999999999999</v>
      </c>
      <c r="V16" s="3">
        <v>65</v>
      </c>
      <c r="W16" s="5">
        <v>1.6429377062999591</v>
      </c>
      <c r="X16" s="3">
        <v>39</v>
      </c>
      <c r="Y16">
        <v>8.8094999999999999</v>
      </c>
      <c r="Z16" s="3">
        <v>220</v>
      </c>
      <c r="AA16">
        <v>8</v>
      </c>
      <c r="AB16">
        <v>116</v>
      </c>
      <c r="AC16" s="5">
        <v>6.8965517241379309E-2</v>
      </c>
      <c r="AD16" s="5">
        <v>0.1</v>
      </c>
      <c r="AE16" s="5">
        <v>0.68969999999999998</v>
      </c>
      <c r="AF16" s="3">
        <v>187</v>
      </c>
      <c r="AG16" s="5">
        <v>0.23405466666666666</v>
      </c>
      <c r="AH16" s="5">
        <v>0.4</v>
      </c>
      <c r="AI16" s="5">
        <v>0.58509999999999995</v>
      </c>
      <c r="AJ16" s="3">
        <v>263</v>
      </c>
      <c r="AK16">
        <v>22</v>
      </c>
      <c r="AL16">
        <v>27</v>
      </c>
      <c r="AM16" s="5">
        <v>0.81481481481481477</v>
      </c>
      <c r="AN16" s="5">
        <v>0.8</v>
      </c>
      <c r="AO16" s="5">
        <v>1.0185</v>
      </c>
      <c r="AP16" s="3">
        <v>164</v>
      </c>
    </row>
    <row r="17" spans="1:42">
      <c r="A17" s="4" t="str">
        <f>_xlfn.XLOOKUP(Table1[[#This Row],[SAP]],'Location List'!B:B,'Location List'!G:G)</f>
        <v>SA SOUTH</v>
      </c>
      <c r="B17" s="4" t="str">
        <f>LEFT(Table1[[#This Row],[Sap: Loaction]],4)</f>
        <v>1627</v>
      </c>
      <c r="C17" t="s">
        <v>973</v>
      </c>
      <c r="D17" t="s">
        <v>497</v>
      </c>
      <c r="E17" s="3">
        <v>2</v>
      </c>
      <c r="F17" s="3">
        <v>104</v>
      </c>
      <c r="G17">
        <v>138.25</v>
      </c>
      <c r="H17" t="s">
        <v>454</v>
      </c>
      <c r="I17" s="6">
        <v>31.5839</v>
      </c>
      <c r="J17" s="6">
        <v>39.999873353596762</v>
      </c>
      <c r="K17" s="5">
        <v>0.78959999999999997</v>
      </c>
      <c r="L17" s="3">
        <v>145</v>
      </c>
      <c r="M17">
        <v>127</v>
      </c>
      <c r="N17">
        <v>97.105000000000004</v>
      </c>
      <c r="O17" s="5">
        <v>1.3079000000000001</v>
      </c>
      <c r="P17" s="3">
        <v>84</v>
      </c>
      <c r="Q17">
        <v>108</v>
      </c>
      <c r="R17">
        <v>494</v>
      </c>
      <c r="S17" s="5">
        <v>0.21862348178137653</v>
      </c>
      <c r="T17" s="5">
        <v>0.24000821361442148</v>
      </c>
      <c r="U17" s="5">
        <v>0.91090000000000004</v>
      </c>
      <c r="V17" s="3">
        <v>99</v>
      </c>
      <c r="W17" s="5">
        <v>1.3868923635529087</v>
      </c>
      <c r="X17" s="3">
        <v>71</v>
      </c>
      <c r="Y17">
        <v>8.8332999999999995</v>
      </c>
      <c r="Z17" s="3">
        <v>218</v>
      </c>
      <c r="AA17">
        <v>4</v>
      </c>
      <c r="AB17">
        <v>43</v>
      </c>
      <c r="AC17" s="5">
        <v>9.3023255813953487E-2</v>
      </c>
      <c r="AD17" s="5">
        <v>0.1</v>
      </c>
      <c r="AE17" s="5">
        <v>0.93020000000000003</v>
      </c>
      <c r="AF17" s="3">
        <v>141</v>
      </c>
      <c r="AG17" s="5">
        <v>0.23884633333333335</v>
      </c>
      <c r="AH17" s="5">
        <v>0.4</v>
      </c>
      <c r="AI17" s="5">
        <v>0.59709999999999996</v>
      </c>
      <c r="AJ17" s="3">
        <v>258</v>
      </c>
      <c r="AK17">
        <v>21</v>
      </c>
      <c r="AL17">
        <v>24</v>
      </c>
      <c r="AM17" s="5">
        <v>0.875</v>
      </c>
      <c r="AN17" s="5">
        <v>0.8</v>
      </c>
      <c r="AO17" s="5">
        <v>1.0938000000000001</v>
      </c>
      <c r="AP17" s="3">
        <v>132</v>
      </c>
    </row>
    <row r="18" spans="1:42">
      <c r="A18" s="4" t="str">
        <f>_xlfn.XLOOKUP(Table1[[#This Row],[SAP]],'Location List'!B:B,'Location List'!G:G)</f>
        <v>KS/OK</v>
      </c>
      <c r="B18" s="4" t="str">
        <f>LEFT(Table1[[#This Row],[Sap: Loaction]],4)</f>
        <v>114E</v>
      </c>
      <c r="C18" t="s">
        <v>973</v>
      </c>
      <c r="D18" t="s">
        <v>571</v>
      </c>
      <c r="E18" s="3">
        <v>2</v>
      </c>
      <c r="F18" s="3">
        <v>108</v>
      </c>
      <c r="G18">
        <v>139.05000000000001</v>
      </c>
      <c r="H18" t="s">
        <v>454</v>
      </c>
      <c r="I18" s="6">
        <v>26.149799999999999</v>
      </c>
      <c r="J18" s="6">
        <v>35.001740061571411</v>
      </c>
      <c r="K18" s="5">
        <v>0.74709999999999999</v>
      </c>
      <c r="L18" s="3">
        <v>156</v>
      </c>
      <c r="M18">
        <v>93</v>
      </c>
      <c r="N18">
        <v>44.298000000000002</v>
      </c>
      <c r="O18" s="5">
        <v>2.0994000000000002</v>
      </c>
      <c r="P18" s="3">
        <v>4</v>
      </c>
      <c r="Q18">
        <v>82</v>
      </c>
      <c r="R18">
        <v>417</v>
      </c>
      <c r="S18" s="5">
        <v>0.19664268585131894</v>
      </c>
      <c r="T18" s="5">
        <v>0.24001304265997672</v>
      </c>
      <c r="U18" s="5">
        <v>0.81930000000000003</v>
      </c>
      <c r="V18" s="3">
        <v>130</v>
      </c>
      <c r="W18" s="5">
        <v>1.2441740474998531</v>
      </c>
      <c r="X18" s="3">
        <v>106</v>
      </c>
      <c r="Y18">
        <v>7.1666999999999996</v>
      </c>
      <c r="Z18" s="3">
        <v>323</v>
      </c>
      <c r="AA18">
        <v>6</v>
      </c>
      <c r="AB18">
        <v>70</v>
      </c>
      <c r="AC18" s="5">
        <v>8.5714285714285715E-2</v>
      </c>
      <c r="AD18" s="5">
        <v>0.1</v>
      </c>
      <c r="AE18" s="5">
        <v>0.85709999999999997</v>
      </c>
      <c r="AF18" s="3">
        <v>155</v>
      </c>
      <c r="AG18" s="5">
        <v>0.38353999999999999</v>
      </c>
      <c r="AH18" s="5">
        <v>0.4</v>
      </c>
      <c r="AI18" s="5">
        <v>0.95889999999999997</v>
      </c>
      <c r="AJ18" s="3">
        <v>136</v>
      </c>
      <c r="AK18">
        <v>10</v>
      </c>
      <c r="AL18">
        <v>12</v>
      </c>
      <c r="AM18" s="5">
        <v>0.83333333333333337</v>
      </c>
      <c r="AN18" s="5">
        <v>0.8</v>
      </c>
      <c r="AO18" s="5">
        <v>1.0417000000000001</v>
      </c>
      <c r="AP18" s="3">
        <v>158</v>
      </c>
    </row>
    <row r="19" spans="1:42">
      <c r="A19" s="4" t="str">
        <f>_xlfn.XLOOKUP(Table1[[#This Row],[SAP]],'Location List'!B:B,'Location List'!G:G)</f>
        <v>MO/IA/NE</v>
      </c>
      <c r="B19" s="4" t="str">
        <f>LEFT(Table1[[#This Row],[Sap: Loaction]],4)</f>
        <v>4ASP</v>
      </c>
      <c r="C19" t="s">
        <v>973</v>
      </c>
      <c r="D19" t="s">
        <v>536</v>
      </c>
      <c r="E19" s="3">
        <v>2</v>
      </c>
      <c r="F19" s="3">
        <v>111</v>
      </c>
      <c r="G19">
        <v>139.65</v>
      </c>
      <c r="H19" t="s">
        <v>454</v>
      </c>
      <c r="I19" s="6">
        <v>40.749200000000002</v>
      </c>
      <c r="J19" s="6">
        <v>40.00117797192501</v>
      </c>
      <c r="K19" s="5">
        <v>1.0186999999999999</v>
      </c>
      <c r="L19" s="3">
        <v>90</v>
      </c>
      <c r="M19">
        <v>79</v>
      </c>
      <c r="N19">
        <v>55.284999999999997</v>
      </c>
      <c r="O19" s="5">
        <v>1.429</v>
      </c>
      <c r="P19" s="3">
        <v>59</v>
      </c>
      <c r="Q19">
        <v>101</v>
      </c>
      <c r="R19">
        <v>541</v>
      </c>
      <c r="S19" s="5">
        <v>0.1866913123844732</v>
      </c>
      <c r="T19" s="5">
        <v>0.23999397401269212</v>
      </c>
      <c r="U19" s="5">
        <v>0.77790000000000004</v>
      </c>
      <c r="V19" s="3">
        <v>149</v>
      </c>
      <c r="W19" s="5">
        <v>1.8237130916589739</v>
      </c>
      <c r="X19" s="3">
        <v>27</v>
      </c>
      <c r="Y19">
        <v>9.0587999999999997</v>
      </c>
      <c r="Z19" s="3">
        <v>192</v>
      </c>
      <c r="AA19">
        <v>8</v>
      </c>
      <c r="AB19">
        <v>86</v>
      </c>
      <c r="AC19" s="5">
        <v>9.3023255813953487E-2</v>
      </c>
      <c r="AD19" s="5">
        <v>0.1</v>
      </c>
      <c r="AE19" s="5">
        <v>0.93020000000000003</v>
      </c>
      <c r="AF19" s="3">
        <v>141</v>
      </c>
      <c r="AG19" s="5">
        <v>0.229352</v>
      </c>
      <c r="AH19" s="5">
        <v>0.4</v>
      </c>
      <c r="AI19" s="5">
        <v>0.57340000000000002</v>
      </c>
      <c r="AJ19" s="3">
        <v>265</v>
      </c>
      <c r="AK19">
        <v>15</v>
      </c>
      <c r="AL19">
        <v>24</v>
      </c>
      <c r="AM19" s="5">
        <v>0.625</v>
      </c>
      <c r="AN19" s="5">
        <v>0.8</v>
      </c>
      <c r="AO19" s="5">
        <v>0.78129999999999999</v>
      </c>
      <c r="AP19" s="3">
        <v>254</v>
      </c>
    </row>
    <row r="20" spans="1:42">
      <c r="A20" s="4" t="str">
        <f>_xlfn.XLOOKUP(Table1[[#This Row],[SAP]],'Location List'!B:B,'Location List'!G:G)</f>
        <v>DFW NORTH</v>
      </c>
      <c r="B20" s="4" t="str">
        <f>LEFT(Table1[[#This Row],[Sap: Loaction]],4)</f>
        <v>904E</v>
      </c>
      <c r="C20" t="s">
        <v>973</v>
      </c>
      <c r="D20" t="s">
        <v>525</v>
      </c>
      <c r="E20" s="3">
        <v>2</v>
      </c>
      <c r="F20" s="3">
        <v>114</v>
      </c>
      <c r="G20">
        <v>140.80000000000001</v>
      </c>
      <c r="H20" t="s">
        <v>454</v>
      </c>
      <c r="I20" s="6">
        <v>39.573300000000003</v>
      </c>
      <c r="J20" s="6">
        <v>34.998938710533302</v>
      </c>
      <c r="K20" s="5">
        <v>1.1307</v>
      </c>
      <c r="L20" s="3">
        <v>66</v>
      </c>
      <c r="M20">
        <v>51</v>
      </c>
      <c r="N20">
        <v>44.656999999999996</v>
      </c>
      <c r="O20" s="5">
        <v>1.1419999999999999</v>
      </c>
      <c r="P20" s="3">
        <v>133</v>
      </c>
      <c r="Q20">
        <v>57</v>
      </c>
      <c r="R20">
        <v>346</v>
      </c>
      <c r="S20" s="5">
        <v>0.16473988439306358</v>
      </c>
      <c r="T20" s="5">
        <v>0.2400056590808036</v>
      </c>
      <c r="U20" s="5">
        <v>0.68640000000000001</v>
      </c>
      <c r="V20" s="3">
        <v>209</v>
      </c>
      <c r="W20" s="5">
        <v>1.3802786881516225</v>
      </c>
      <c r="X20" s="3">
        <v>73</v>
      </c>
      <c r="Y20">
        <v>8.1538000000000004</v>
      </c>
      <c r="Z20" s="3">
        <v>283</v>
      </c>
      <c r="AA20">
        <v>5</v>
      </c>
      <c r="AB20">
        <v>49</v>
      </c>
      <c r="AC20" s="5">
        <v>0.10204081632653061</v>
      </c>
      <c r="AD20" s="5">
        <v>0.1</v>
      </c>
      <c r="AE20" s="5">
        <v>1.0204</v>
      </c>
      <c r="AF20" s="3">
        <v>128</v>
      </c>
      <c r="AG20" s="5">
        <v>0.39473666666666668</v>
      </c>
      <c r="AH20" s="5">
        <v>0.4</v>
      </c>
      <c r="AI20" s="5">
        <v>0.98680000000000001</v>
      </c>
      <c r="AJ20" s="3">
        <v>126</v>
      </c>
      <c r="AK20">
        <v>16</v>
      </c>
      <c r="AL20">
        <v>18</v>
      </c>
      <c r="AM20" s="5">
        <v>0.88888888888888884</v>
      </c>
      <c r="AN20" s="5">
        <v>0.8</v>
      </c>
      <c r="AO20" s="5">
        <v>1.1111</v>
      </c>
      <c r="AP20" s="3">
        <v>122</v>
      </c>
    </row>
    <row r="21" spans="1:42">
      <c r="A21" s="4" t="str">
        <f>_xlfn.XLOOKUP(Table1[[#This Row],[SAP]],'Location List'!B:B,'Location List'!G:G)</f>
        <v>SA SOUTH</v>
      </c>
      <c r="B21" s="4" t="str">
        <f>LEFT(Table1[[#This Row],[Sap: Loaction]],4)</f>
        <v>2074</v>
      </c>
      <c r="C21" t="s">
        <v>973</v>
      </c>
      <c r="D21" t="s">
        <v>512</v>
      </c>
      <c r="E21" s="3">
        <v>2</v>
      </c>
      <c r="F21" s="3">
        <v>121</v>
      </c>
      <c r="G21">
        <v>146.05000000000001</v>
      </c>
      <c r="H21" t="s">
        <v>454</v>
      </c>
      <c r="I21" s="6">
        <v>20.441400000000002</v>
      </c>
      <c r="J21" s="6">
        <v>40.0027397260274</v>
      </c>
      <c r="K21" s="5">
        <v>0.51100000000000001</v>
      </c>
      <c r="L21" s="3">
        <v>237</v>
      </c>
      <c r="M21">
        <v>37</v>
      </c>
      <c r="N21">
        <v>60.598999999999997</v>
      </c>
      <c r="O21" s="5">
        <v>0.61060000000000003</v>
      </c>
      <c r="P21" s="3">
        <v>300</v>
      </c>
      <c r="Q21">
        <v>49</v>
      </c>
      <c r="R21">
        <v>481</v>
      </c>
      <c r="S21" s="5">
        <v>0.10187110187110188</v>
      </c>
      <c r="T21" s="5">
        <v>0.23997903856561104</v>
      </c>
      <c r="U21" s="5">
        <v>0.42449999999999999</v>
      </c>
      <c r="V21" s="3">
        <v>335</v>
      </c>
      <c r="W21" s="5">
        <v>1.3272804118978694</v>
      </c>
      <c r="X21" s="3">
        <v>87</v>
      </c>
      <c r="Y21">
        <v>10</v>
      </c>
      <c r="Z21" s="3">
        <v>1</v>
      </c>
      <c r="AA21">
        <v>10</v>
      </c>
      <c r="AB21">
        <v>44</v>
      </c>
      <c r="AC21" s="5">
        <v>0.22727272727272727</v>
      </c>
      <c r="AD21" s="5">
        <v>0.1</v>
      </c>
      <c r="AE21" s="5">
        <v>2.2726999999999999</v>
      </c>
      <c r="AF21" s="3">
        <v>31</v>
      </c>
      <c r="AG21" s="5">
        <v>0.65740733333333334</v>
      </c>
      <c r="AH21" s="5">
        <v>0.4</v>
      </c>
      <c r="AI21" s="5">
        <v>1.6435</v>
      </c>
      <c r="AJ21" s="3">
        <v>17</v>
      </c>
      <c r="AK21">
        <v>7</v>
      </c>
      <c r="AL21">
        <v>7</v>
      </c>
      <c r="AM21" s="5">
        <v>1</v>
      </c>
      <c r="AN21" s="5">
        <v>0.8</v>
      </c>
      <c r="AO21" s="5">
        <v>1.25</v>
      </c>
      <c r="AP21" s="3">
        <v>1</v>
      </c>
    </row>
    <row r="22" spans="1:42">
      <c r="A22" s="4" t="str">
        <f>_xlfn.XLOOKUP(Table1[[#This Row],[SAP]],'Location List'!B:B,'Location List'!G:G)</f>
        <v>CENTRAL TEXAS</v>
      </c>
      <c r="B22" s="4" t="str">
        <f>LEFT(Table1[[#This Row],[Sap: Loaction]],4)</f>
        <v>1FSC</v>
      </c>
      <c r="C22" t="s">
        <v>973</v>
      </c>
      <c r="D22" t="s">
        <v>524</v>
      </c>
      <c r="E22" s="3">
        <v>2</v>
      </c>
      <c r="F22" s="3">
        <v>122</v>
      </c>
      <c r="G22">
        <v>146.69999999999999</v>
      </c>
      <c r="H22" t="s">
        <v>454</v>
      </c>
      <c r="I22" s="6">
        <v>28.1418</v>
      </c>
      <c r="J22" s="6">
        <v>40.002558635394458</v>
      </c>
      <c r="K22" s="5">
        <v>0.70350000000000001</v>
      </c>
      <c r="L22" s="3">
        <v>171</v>
      </c>
      <c r="M22">
        <v>63</v>
      </c>
      <c r="N22">
        <v>71.941000000000003</v>
      </c>
      <c r="O22" s="5">
        <v>0.87570000000000003</v>
      </c>
      <c r="P22" s="3">
        <v>223</v>
      </c>
      <c r="Q22">
        <v>84</v>
      </c>
      <c r="R22">
        <v>350</v>
      </c>
      <c r="S22" s="5">
        <v>0.24</v>
      </c>
      <c r="T22" s="5">
        <v>0.24</v>
      </c>
      <c r="U22" s="5">
        <v>1</v>
      </c>
      <c r="V22" s="3">
        <v>66</v>
      </c>
      <c r="W22" s="5">
        <v>0.90564294442509397</v>
      </c>
      <c r="X22" s="3">
        <v>223</v>
      </c>
      <c r="Y22">
        <v>9.7777999999999992</v>
      </c>
      <c r="Z22" s="3">
        <v>90</v>
      </c>
      <c r="AA22">
        <v>6</v>
      </c>
      <c r="AB22">
        <v>67</v>
      </c>
      <c r="AC22" s="5">
        <v>8.9552238805970144E-2</v>
      </c>
      <c r="AD22" s="5">
        <v>0.1</v>
      </c>
      <c r="AE22" s="5">
        <v>0.89549999999999996</v>
      </c>
      <c r="AF22" s="3">
        <v>148</v>
      </c>
      <c r="AG22" s="5">
        <v>0.42539633333333332</v>
      </c>
      <c r="AH22" s="5">
        <v>0.4</v>
      </c>
      <c r="AI22" s="5">
        <v>1.0634999999999999</v>
      </c>
      <c r="AJ22" s="3">
        <v>95</v>
      </c>
      <c r="AK22">
        <v>17</v>
      </c>
      <c r="AL22">
        <v>20</v>
      </c>
      <c r="AM22" s="5">
        <v>0.85</v>
      </c>
      <c r="AN22" s="5">
        <v>0.8</v>
      </c>
      <c r="AO22" s="5">
        <v>1.0625</v>
      </c>
      <c r="AP22" s="3">
        <v>147</v>
      </c>
    </row>
    <row r="23" spans="1:42">
      <c r="A23" s="4" t="str">
        <f>_xlfn.XLOOKUP(Table1[[#This Row],[SAP]],'Location List'!B:B,'Location List'!G:G)</f>
        <v>SA/HILL COUNTRY</v>
      </c>
      <c r="B23" s="4" t="str">
        <f>LEFT(Table1[[#This Row],[Sap: Loaction]],4)</f>
        <v>569D</v>
      </c>
      <c r="C23" t="s">
        <v>973</v>
      </c>
      <c r="D23" t="s">
        <v>513</v>
      </c>
      <c r="E23" s="3">
        <v>2</v>
      </c>
      <c r="F23" s="3">
        <v>123</v>
      </c>
      <c r="G23">
        <v>146.9</v>
      </c>
      <c r="H23" t="s">
        <v>454</v>
      </c>
      <c r="I23" s="6">
        <v>24.435700000000001</v>
      </c>
      <c r="J23" s="6">
        <v>34.998138069321108</v>
      </c>
      <c r="K23" s="5">
        <v>0.69820000000000004</v>
      </c>
      <c r="L23" s="3">
        <v>173</v>
      </c>
      <c r="M23">
        <v>36</v>
      </c>
      <c r="N23">
        <v>31.54</v>
      </c>
      <c r="O23" s="5">
        <v>1.1414</v>
      </c>
      <c r="P23" s="3">
        <v>134</v>
      </c>
      <c r="Q23">
        <v>38</v>
      </c>
      <c r="R23">
        <v>251</v>
      </c>
      <c r="S23" s="5">
        <v>0.15139442231075698</v>
      </c>
      <c r="T23" s="5">
        <v>0.24000384006144099</v>
      </c>
      <c r="U23" s="5">
        <v>0.63080000000000003</v>
      </c>
      <c r="V23" s="3">
        <v>241</v>
      </c>
      <c r="W23" s="5">
        <v>1.4035611684114704</v>
      </c>
      <c r="X23" s="3">
        <v>69</v>
      </c>
      <c r="Y23">
        <v>10</v>
      </c>
      <c r="Z23" s="3">
        <v>1</v>
      </c>
      <c r="AA23">
        <v>9</v>
      </c>
      <c r="AB23">
        <v>76</v>
      </c>
      <c r="AC23" s="5">
        <v>0.11842105263157894</v>
      </c>
      <c r="AD23" s="5">
        <v>0.1</v>
      </c>
      <c r="AE23" s="5">
        <v>1.1841999999999999</v>
      </c>
      <c r="AF23" s="3">
        <v>108</v>
      </c>
      <c r="AG23" s="5">
        <v>0.43333333333333335</v>
      </c>
      <c r="AH23" s="5">
        <v>0.4</v>
      </c>
      <c r="AI23" s="5">
        <v>1.0832999999999999</v>
      </c>
      <c r="AJ23" s="3">
        <v>90</v>
      </c>
      <c r="AK23">
        <v>1</v>
      </c>
      <c r="AL23">
        <v>3</v>
      </c>
      <c r="AM23" s="5">
        <v>0.33333333333333331</v>
      </c>
      <c r="AN23" s="5">
        <v>0.8</v>
      </c>
      <c r="AO23" s="5">
        <v>0.41670000000000001</v>
      </c>
      <c r="AP23" s="3">
        <v>325</v>
      </c>
    </row>
    <row r="24" spans="1:42">
      <c r="A24" s="4" t="str">
        <f>_xlfn.XLOOKUP(Table1[[#This Row],[SAP]],'Location List'!B:B,'Location List'!G:G)</f>
        <v>MO/IA/NE</v>
      </c>
      <c r="B24" s="4" t="str">
        <f>LEFT(Table1[[#This Row],[Sap: Loaction]],4)</f>
        <v>3ISS</v>
      </c>
      <c r="C24" t="s">
        <v>973</v>
      </c>
      <c r="D24" t="s">
        <v>561</v>
      </c>
      <c r="E24" s="3">
        <v>2</v>
      </c>
      <c r="F24" s="3">
        <v>135</v>
      </c>
      <c r="G24">
        <v>152</v>
      </c>
      <c r="H24" t="s">
        <v>454</v>
      </c>
      <c r="I24" s="6">
        <v>42.265700000000002</v>
      </c>
      <c r="J24" s="6">
        <v>29.999077294343106</v>
      </c>
      <c r="K24" s="5">
        <v>1.4089</v>
      </c>
      <c r="L24" s="3">
        <v>27</v>
      </c>
      <c r="M24">
        <v>73</v>
      </c>
      <c r="N24">
        <v>50.677</v>
      </c>
      <c r="O24" s="5">
        <v>1.4404999999999999</v>
      </c>
      <c r="P24" s="3">
        <v>55</v>
      </c>
      <c r="Q24">
        <v>79</v>
      </c>
      <c r="R24">
        <v>474</v>
      </c>
      <c r="S24" s="5">
        <v>0.16666666666666666</v>
      </c>
      <c r="T24" s="5">
        <v>0.24001536098310289</v>
      </c>
      <c r="U24" s="5">
        <v>0.69440000000000002</v>
      </c>
      <c r="V24" s="3">
        <v>201</v>
      </c>
      <c r="W24" s="5">
        <v>0.48264902680304006</v>
      </c>
      <c r="X24" s="3">
        <v>337</v>
      </c>
      <c r="Y24">
        <v>9.1333000000000002</v>
      </c>
      <c r="Z24" s="3">
        <v>178</v>
      </c>
      <c r="AA24">
        <v>8</v>
      </c>
      <c r="AB24">
        <v>126</v>
      </c>
      <c r="AC24" s="5">
        <v>6.3492063492063489E-2</v>
      </c>
      <c r="AD24" s="5">
        <v>0.1</v>
      </c>
      <c r="AE24" s="5">
        <v>0.63490000000000002</v>
      </c>
      <c r="AF24" s="3">
        <v>195</v>
      </c>
      <c r="AG24" s="5">
        <v>0.47496200000000005</v>
      </c>
      <c r="AH24" s="5">
        <v>0.4</v>
      </c>
      <c r="AI24" s="5">
        <v>1.1874</v>
      </c>
      <c r="AJ24" s="3">
        <v>58</v>
      </c>
      <c r="AK24">
        <v>4</v>
      </c>
      <c r="AL24">
        <v>6</v>
      </c>
      <c r="AM24" s="5">
        <v>0.66666666666666663</v>
      </c>
      <c r="AN24" s="5">
        <v>0.8</v>
      </c>
      <c r="AO24" s="5">
        <v>0.83330000000000004</v>
      </c>
      <c r="AP24" s="3">
        <v>230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1DSD</v>
      </c>
      <c r="C25" t="s">
        <v>973</v>
      </c>
      <c r="D25" t="s">
        <v>567</v>
      </c>
      <c r="E25" s="3">
        <v>2</v>
      </c>
      <c r="F25" s="3">
        <v>139</v>
      </c>
      <c r="G25">
        <v>153.69999999999999</v>
      </c>
      <c r="H25" t="s">
        <v>454</v>
      </c>
      <c r="I25" s="6">
        <v>44.915999999999997</v>
      </c>
      <c r="J25" s="6">
        <v>35.000389620509615</v>
      </c>
      <c r="K25" s="5">
        <v>1.2833000000000001</v>
      </c>
      <c r="L25" s="3">
        <v>39</v>
      </c>
      <c r="M25">
        <v>54</v>
      </c>
      <c r="N25">
        <v>46.426000000000002</v>
      </c>
      <c r="O25" s="5">
        <v>1.1631</v>
      </c>
      <c r="P25" s="3">
        <v>124</v>
      </c>
      <c r="Q25">
        <v>101</v>
      </c>
      <c r="R25">
        <v>435</v>
      </c>
      <c r="S25" s="5">
        <v>0.23218390804597702</v>
      </c>
      <c r="T25" s="5">
        <v>0.24000817453584558</v>
      </c>
      <c r="U25" s="5">
        <v>0.96740000000000004</v>
      </c>
      <c r="V25" s="3">
        <v>76</v>
      </c>
      <c r="W25" s="5">
        <v>1.0732382835901526</v>
      </c>
      <c r="X25" s="3">
        <v>158</v>
      </c>
      <c r="Y25">
        <v>9</v>
      </c>
      <c r="Z25" s="3">
        <v>196</v>
      </c>
      <c r="AA25">
        <v>5</v>
      </c>
      <c r="AB25">
        <v>76</v>
      </c>
      <c r="AC25" s="5">
        <v>6.5789473684210523E-2</v>
      </c>
      <c r="AD25" s="5">
        <v>0.1</v>
      </c>
      <c r="AE25" s="5">
        <v>0.65790000000000004</v>
      </c>
      <c r="AF25" s="3">
        <v>193</v>
      </c>
      <c r="AG25" s="5">
        <v>0.21634600000000001</v>
      </c>
      <c r="AH25" s="5">
        <v>0.4</v>
      </c>
      <c r="AI25" s="5">
        <v>0.54090000000000005</v>
      </c>
      <c r="AJ25" s="3">
        <v>276</v>
      </c>
      <c r="AK25">
        <v>6</v>
      </c>
      <c r="AL25">
        <v>10</v>
      </c>
      <c r="AM25" s="5">
        <v>0.6</v>
      </c>
      <c r="AN25" s="5">
        <v>0.8</v>
      </c>
      <c r="AO25" s="5">
        <v>0.75</v>
      </c>
      <c r="AP25" s="3">
        <v>259</v>
      </c>
    </row>
    <row r="26" spans="1:42">
      <c r="A26" s="4" t="str">
        <f>_xlfn.XLOOKUP(Table1[[#This Row],[SAP]],'Location List'!B:B,'Location List'!G:G)</f>
        <v>SA SOUTH</v>
      </c>
      <c r="B26" s="4" t="str">
        <f>LEFT(Table1[[#This Row],[Sap: Loaction]],4)</f>
        <v>1DSZ</v>
      </c>
      <c r="C26" t="s">
        <v>973</v>
      </c>
      <c r="D26" t="s">
        <v>504</v>
      </c>
      <c r="E26" s="3">
        <v>3</v>
      </c>
      <c r="F26" s="3">
        <v>149</v>
      </c>
      <c r="G26">
        <v>160.80000000000001</v>
      </c>
      <c r="H26" t="s">
        <v>454</v>
      </c>
      <c r="I26" s="6">
        <v>26.9556</v>
      </c>
      <c r="J26" s="6">
        <v>34.998182290314205</v>
      </c>
      <c r="K26" s="5">
        <v>0.7702</v>
      </c>
      <c r="L26" s="3">
        <v>151</v>
      </c>
      <c r="M26">
        <v>31</v>
      </c>
      <c r="N26">
        <v>46.777000000000001</v>
      </c>
      <c r="O26" s="5">
        <v>0.66269999999999996</v>
      </c>
      <c r="P26" s="3">
        <v>290</v>
      </c>
      <c r="Q26">
        <v>58</v>
      </c>
      <c r="R26">
        <v>356</v>
      </c>
      <c r="S26" s="5">
        <v>0.16292134831460675</v>
      </c>
      <c r="T26" s="5">
        <v>0.2400137718247006</v>
      </c>
      <c r="U26" s="5">
        <v>0.67879999999999996</v>
      </c>
      <c r="V26" s="3">
        <v>211</v>
      </c>
      <c r="W26" s="5">
        <v>0.96505549393315593</v>
      </c>
      <c r="X26" s="3">
        <v>203</v>
      </c>
      <c r="Y26">
        <v>9.125</v>
      </c>
      <c r="Z26" s="3">
        <v>179</v>
      </c>
      <c r="AA26">
        <v>8</v>
      </c>
      <c r="AB26">
        <v>33</v>
      </c>
      <c r="AC26" s="5">
        <v>0.24242424242424243</v>
      </c>
      <c r="AD26" s="5">
        <v>0.1</v>
      </c>
      <c r="AE26" s="5">
        <v>2.4241999999999999</v>
      </c>
      <c r="AF26" s="3">
        <v>28</v>
      </c>
      <c r="AG26" s="5">
        <v>0.62745066666666671</v>
      </c>
      <c r="AH26" s="5">
        <v>0.4</v>
      </c>
      <c r="AI26" s="5">
        <v>1.5686</v>
      </c>
      <c r="AJ26" s="3">
        <v>22</v>
      </c>
      <c r="AK26">
        <v>10</v>
      </c>
      <c r="AL26">
        <v>13</v>
      </c>
      <c r="AM26" s="5">
        <v>0.76923076923076927</v>
      </c>
      <c r="AN26" s="5">
        <v>0.8</v>
      </c>
      <c r="AO26" s="5">
        <v>0.96150000000000002</v>
      </c>
      <c r="AP26" s="3">
        <v>184</v>
      </c>
    </row>
    <row r="27" spans="1:42">
      <c r="A27" s="4" t="str">
        <f>_xlfn.XLOOKUP(Table1[[#This Row],[SAP]],'Location List'!B:B,'Location List'!G:G)</f>
        <v>CENTRAL TEXAS</v>
      </c>
      <c r="B27" s="4" t="str">
        <f>LEFT(Table1[[#This Row],[Sap: Loaction]],4)</f>
        <v>1FSU</v>
      </c>
      <c r="C27" t="s">
        <v>973</v>
      </c>
      <c r="D27" t="s">
        <v>523</v>
      </c>
      <c r="E27" s="3">
        <v>3</v>
      </c>
      <c r="F27" s="3">
        <v>150</v>
      </c>
      <c r="G27">
        <v>161.94999999999999</v>
      </c>
      <c r="H27" t="s">
        <v>454</v>
      </c>
      <c r="I27" s="6">
        <v>17.391500000000001</v>
      </c>
      <c r="J27" s="6">
        <v>30.000862515094017</v>
      </c>
      <c r="K27" s="5">
        <v>0.57969999999999999</v>
      </c>
      <c r="L27" s="3">
        <v>208</v>
      </c>
      <c r="M27">
        <v>23</v>
      </c>
      <c r="N27">
        <v>35.082999999999998</v>
      </c>
      <c r="O27" s="5">
        <v>0.65559999999999996</v>
      </c>
      <c r="P27" s="3">
        <v>292</v>
      </c>
      <c r="Q27">
        <v>39</v>
      </c>
      <c r="R27">
        <v>177</v>
      </c>
      <c r="S27" s="5">
        <v>0.22033898305084745</v>
      </c>
      <c r="T27" s="5">
        <v>0.23999453550903763</v>
      </c>
      <c r="U27" s="5">
        <v>0.91810000000000003</v>
      </c>
      <c r="V27" s="3">
        <v>94</v>
      </c>
      <c r="W27" s="5">
        <v>1.0061605145228372</v>
      </c>
      <c r="X27" s="3">
        <v>190</v>
      </c>
      <c r="Y27">
        <v>10</v>
      </c>
      <c r="Z27" s="3">
        <v>1</v>
      </c>
      <c r="AA27">
        <v>11</v>
      </c>
      <c r="AB27">
        <v>51</v>
      </c>
      <c r="AC27" s="5">
        <v>0.21568627450980393</v>
      </c>
      <c r="AD27" s="5">
        <v>0.1</v>
      </c>
      <c r="AE27" s="5">
        <v>2.1568999999999998</v>
      </c>
      <c r="AF27" s="3">
        <v>35</v>
      </c>
      <c r="AG27" s="5">
        <v>0.19841233333333333</v>
      </c>
      <c r="AH27" s="5">
        <v>0.4</v>
      </c>
      <c r="AI27" s="5">
        <v>0.496</v>
      </c>
      <c r="AJ27" s="3">
        <v>294</v>
      </c>
      <c r="AK27">
        <v>3</v>
      </c>
      <c r="AL27">
        <v>4</v>
      </c>
      <c r="AM27" s="5">
        <v>0.75</v>
      </c>
      <c r="AN27" s="5">
        <v>0.8</v>
      </c>
      <c r="AO27" s="5">
        <v>0.9375</v>
      </c>
      <c r="AP27" s="3">
        <v>191</v>
      </c>
    </row>
    <row r="28" spans="1:42">
      <c r="A28" s="4" t="str">
        <f>_xlfn.XLOOKUP(Table1[[#This Row],[SAP]],'Location List'!B:B,'Location List'!G:G)</f>
        <v>SOUTH TX/RGV</v>
      </c>
      <c r="B28" s="4" t="str">
        <f>LEFT(Table1[[#This Row],[Sap: Loaction]],4)</f>
        <v>216E</v>
      </c>
      <c r="C28" t="s">
        <v>973</v>
      </c>
      <c r="D28" t="s">
        <v>560</v>
      </c>
      <c r="E28" s="3">
        <v>3</v>
      </c>
      <c r="F28" s="3">
        <v>153</v>
      </c>
      <c r="G28">
        <v>162.30000000000001</v>
      </c>
      <c r="H28" t="s">
        <v>454</v>
      </c>
      <c r="I28" s="6">
        <v>49.179499999999997</v>
      </c>
      <c r="J28" s="6">
        <v>39.999593330622204</v>
      </c>
      <c r="K28" s="5">
        <v>1.2295</v>
      </c>
      <c r="L28" s="3">
        <v>46</v>
      </c>
      <c r="M28">
        <v>68</v>
      </c>
      <c r="N28">
        <v>62.728000000000002</v>
      </c>
      <c r="O28" s="5">
        <v>1.0840000000000001</v>
      </c>
      <c r="P28" s="3">
        <v>149</v>
      </c>
      <c r="Q28">
        <v>93</v>
      </c>
      <c r="R28">
        <v>429</v>
      </c>
      <c r="S28" s="5">
        <v>0.21678321678321677</v>
      </c>
      <c r="T28" s="5">
        <v>0.2399902765229899</v>
      </c>
      <c r="U28" s="5">
        <v>0.90329999999999999</v>
      </c>
      <c r="V28" s="3">
        <v>100</v>
      </c>
      <c r="W28" s="5">
        <v>0.85694682086772644</v>
      </c>
      <c r="X28" s="3">
        <v>237</v>
      </c>
      <c r="Y28">
        <v>8</v>
      </c>
      <c r="Z28" s="3">
        <v>284</v>
      </c>
      <c r="AA28">
        <v>4</v>
      </c>
      <c r="AB28">
        <v>96</v>
      </c>
      <c r="AC28" s="5">
        <v>4.1666666666666664E-2</v>
      </c>
      <c r="AD28" s="5">
        <v>0.1</v>
      </c>
      <c r="AE28" s="5">
        <v>0.41670000000000001</v>
      </c>
      <c r="AF28" s="3">
        <v>237</v>
      </c>
      <c r="AG28" s="5">
        <v>0.39232566666666663</v>
      </c>
      <c r="AH28" s="5">
        <v>0.4</v>
      </c>
      <c r="AI28" s="5">
        <v>0.98080000000000001</v>
      </c>
      <c r="AJ28" s="3">
        <v>127</v>
      </c>
      <c r="AK28">
        <v>11</v>
      </c>
      <c r="AL28">
        <v>14</v>
      </c>
      <c r="AM28" s="5">
        <v>0.7857142857142857</v>
      </c>
      <c r="AN28" s="5">
        <v>0.8</v>
      </c>
      <c r="AO28" s="5">
        <v>0.98209999999999997</v>
      </c>
      <c r="AP28" s="3">
        <v>177</v>
      </c>
    </row>
    <row r="29" spans="1:42">
      <c r="A29" s="4" t="str">
        <f>_xlfn.XLOOKUP(Table1[[#This Row],[SAP]],'Location List'!B:B,'Location List'!G:G)</f>
        <v>DFW NORTH</v>
      </c>
      <c r="B29" s="4" t="str">
        <f>LEFT(Table1[[#This Row],[Sap: Loaction]],4)</f>
        <v>211E</v>
      </c>
      <c r="C29" t="s">
        <v>973</v>
      </c>
      <c r="D29" t="s">
        <v>557</v>
      </c>
      <c r="E29" s="3">
        <v>3</v>
      </c>
      <c r="F29" s="3">
        <v>159</v>
      </c>
      <c r="G29">
        <v>167.1</v>
      </c>
      <c r="H29" t="s">
        <v>454</v>
      </c>
      <c r="I29" s="6">
        <v>38.788800000000002</v>
      </c>
      <c r="J29" s="6">
        <v>34.99846611928178</v>
      </c>
      <c r="K29" s="5">
        <v>1.1083000000000001</v>
      </c>
      <c r="L29" s="3">
        <v>71</v>
      </c>
      <c r="M29">
        <v>75</v>
      </c>
      <c r="N29">
        <v>51.74</v>
      </c>
      <c r="O29" s="5">
        <v>1.4496</v>
      </c>
      <c r="P29" s="3">
        <v>54</v>
      </c>
      <c r="Q29">
        <v>79</v>
      </c>
      <c r="R29">
        <v>448</v>
      </c>
      <c r="S29" s="5">
        <v>0.17633928571428573</v>
      </c>
      <c r="T29" s="5">
        <v>0.24001536098310292</v>
      </c>
      <c r="U29" s="5">
        <v>0.73470000000000002</v>
      </c>
      <c r="V29" s="3">
        <v>175</v>
      </c>
      <c r="W29" s="5">
        <v>1.2695440646414957</v>
      </c>
      <c r="X29" s="3">
        <v>103</v>
      </c>
      <c r="Y29">
        <v>9.5</v>
      </c>
      <c r="Z29" s="3">
        <v>124</v>
      </c>
      <c r="AA29">
        <v>3</v>
      </c>
      <c r="AB29">
        <v>101</v>
      </c>
      <c r="AC29" s="5">
        <v>2.9702970297029702E-2</v>
      </c>
      <c r="AD29" s="5">
        <v>0.1</v>
      </c>
      <c r="AE29" s="5">
        <v>0.29699999999999999</v>
      </c>
      <c r="AF29" s="3">
        <v>266</v>
      </c>
      <c r="AG29" s="5">
        <v>0.17666666666666667</v>
      </c>
      <c r="AH29" s="5">
        <v>0.4</v>
      </c>
      <c r="AI29" s="5">
        <v>0.44169999999999998</v>
      </c>
      <c r="AJ29" s="3">
        <v>313</v>
      </c>
      <c r="AK29">
        <v>7</v>
      </c>
      <c r="AL29">
        <v>13</v>
      </c>
      <c r="AM29" s="5">
        <v>0.53846153846153844</v>
      </c>
      <c r="AN29" s="5">
        <v>0.8</v>
      </c>
      <c r="AO29" s="5">
        <v>0.67310000000000003</v>
      </c>
      <c r="AP29" s="3">
        <v>282</v>
      </c>
    </row>
    <row r="30" spans="1:42">
      <c r="A30" s="4" t="str">
        <f>_xlfn.XLOOKUP(Table1[[#This Row],[SAP]],'Location List'!B:B,'Location List'!G:G)</f>
        <v>SA/HILL COUNTRY</v>
      </c>
      <c r="B30" s="4" t="str">
        <f>LEFT(Table1[[#This Row],[Sap: Loaction]],4)</f>
        <v>1ESB</v>
      </c>
      <c r="C30" t="s">
        <v>973</v>
      </c>
      <c r="D30" t="s">
        <v>515</v>
      </c>
      <c r="E30" s="3">
        <v>3</v>
      </c>
      <c r="F30" s="3">
        <v>165</v>
      </c>
      <c r="G30">
        <v>168.5</v>
      </c>
      <c r="H30" t="s">
        <v>454</v>
      </c>
      <c r="I30" s="6">
        <v>32.502400000000002</v>
      </c>
      <c r="J30" s="6">
        <v>39.998031011567811</v>
      </c>
      <c r="K30" s="5">
        <v>0.81259999999999999</v>
      </c>
      <c r="L30" s="3">
        <v>138</v>
      </c>
      <c r="M30">
        <v>76</v>
      </c>
      <c r="N30">
        <v>70.171999999999997</v>
      </c>
      <c r="O30" s="5">
        <v>1.0831</v>
      </c>
      <c r="P30" s="3">
        <v>150</v>
      </c>
      <c r="Q30">
        <v>100</v>
      </c>
      <c r="R30">
        <v>457</v>
      </c>
      <c r="S30" s="5">
        <v>0.21881838074398249</v>
      </c>
      <c r="T30" s="5">
        <v>0.24001138614015849</v>
      </c>
      <c r="U30" s="5">
        <v>0.91169999999999995</v>
      </c>
      <c r="V30" s="3">
        <v>97</v>
      </c>
      <c r="W30" s="5">
        <v>0.91061649547108658</v>
      </c>
      <c r="X30" s="3">
        <v>221</v>
      </c>
      <c r="Y30">
        <v>9.8181999999999992</v>
      </c>
      <c r="Z30" s="3">
        <v>82</v>
      </c>
      <c r="AA30">
        <v>3</v>
      </c>
      <c r="AB30">
        <v>65</v>
      </c>
      <c r="AC30" s="5">
        <v>4.6153846153846156E-2</v>
      </c>
      <c r="AD30" s="5">
        <v>0.1</v>
      </c>
      <c r="AE30" s="5">
        <v>0.46150000000000002</v>
      </c>
      <c r="AF30" s="3">
        <v>227</v>
      </c>
      <c r="AG30" s="5">
        <v>0.23725466666666664</v>
      </c>
      <c r="AH30" s="5">
        <v>0.4</v>
      </c>
      <c r="AI30" s="5">
        <v>0.59309999999999996</v>
      </c>
      <c r="AJ30" s="3">
        <v>260</v>
      </c>
      <c r="AK30">
        <v>19</v>
      </c>
      <c r="AL30">
        <v>26</v>
      </c>
      <c r="AM30" s="5">
        <v>0.73076923076923073</v>
      </c>
      <c r="AN30" s="5">
        <v>0.8</v>
      </c>
      <c r="AO30" s="5">
        <v>0.91349999999999998</v>
      </c>
      <c r="AP30" s="3">
        <v>204</v>
      </c>
    </row>
    <row r="31" spans="1:42">
      <c r="A31" s="4" t="str">
        <f>_xlfn.XLOOKUP(Table1[[#This Row],[SAP]],'Location List'!B:B,'Location List'!G:G)</f>
        <v>WEST TEXAS</v>
      </c>
      <c r="B31" s="4" t="str">
        <f>LEFT(Table1[[#This Row],[Sap: Loaction]],4)</f>
        <v>1LSS</v>
      </c>
      <c r="C31" t="s">
        <v>973</v>
      </c>
      <c r="D31" t="s">
        <v>537</v>
      </c>
      <c r="E31" s="3">
        <v>3</v>
      </c>
      <c r="F31" s="3">
        <v>167</v>
      </c>
      <c r="G31">
        <v>169.45</v>
      </c>
      <c r="H31" t="s">
        <v>454</v>
      </c>
      <c r="I31" s="6">
        <v>22.225100000000001</v>
      </c>
      <c r="J31" s="6">
        <v>35.000157480314961</v>
      </c>
      <c r="K31" s="5">
        <v>0.63500000000000001</v>
      </c>
      <c r="L31" s="3">
        <v>187</v>
      </c>
      <c r="M31">
        <v>48</v>
      </c>
      <c r="N31">
        <v>54.222000000000001</v>
      </c>
      <c r="O31" s="5">
        <v>0.88519999999999999</v>
      </c>
      <c r="P31" s="3">
        <v>219</v>
      </c>
      <c r="Q31">
        <v>58</v>
      </c>
      <c r="R31">
        <v>301</v>
      </c>
      <c r="S31" s="5">
        <v>0.19269102990033224</v>
      </c>
      <c r="T31" s="5">
        <v>0.23999380981483653</v>
      </c>
      <c r="U31" s="5">
        <v>0.80289999999999995</v>
      </c>
      <c r="V31" s="3">
        <v>135</v>
      </c>
      <c r="W31" s="5">
        <v>1.2387820185830487</v>
      </c>
      <c r="X31" s="3">
        <v>108</v>
      </c>
      <c r="Y31">
        <v>9.5385000000000009</v>
      </c>
      <c r="Z31" s="3">
        <v>123</v>
      </c>
      <c r="AA31">
        <v>4</v>
      </c>
      <c r="AB31">
        <v>56</v>
      </c>
      <c r="AC31" s="5">
        <v>7.1428571428571425E-2</v>
      </c>
      <c r="AD31" s="5">
        <v>0.1</v>
      </c>
      <c r="AE31" s="5">
        <v>0.71430000000000005</v>
      </c>
      <c r="AF31" s="3">
        <v>184</v>
      </c>
      <c r="AG31" s="5">
        <v>0.47756400000000004</v>
      </c>
      <c r="AH31" s="5">
        <v>0.4</v>
      </c>
      <c r="AI31" s="5">
        <v>1.1939</v>
      </c>
      <c r="AJ31" s="3">
        <v>57</v>
      </c>
      <c r="AK31">
        <v>3</v>
      </c>
      <c r="AL31">
        <v>8</v>
      </c>
      <c r="AM31" s="5">
        <v>0.375</v>
      </c>
      <c r="AN31" s="5">
        <v>0.8</v>
      </c>
      <c r="AO31" s="5">
        <v>0.46879999999999999</v>
      </c>
      <c r="AP31" s="3">
        <v>319</v>
      </c>
    </row>
    <row r="32" spans="1:42">
      <c r="A32" s="4" t="str">
        <f>_xlfn.XLOOKUP(Table1[[#This Row],[SAP]],'Location List'!B:B,'Location List'!G:G)</f>
        <v>DFW NORTH</v>
      </c>
      <c r="B32" s="4" t="str">
        <f>LEFT(Table1[[#This Row],[Sap: Loaction]],4)</f>
        <v>256E</v>
      </c>
      <c r="C32" t="s">
        <v>973</v>
      </c>
      <c r="D32" t="s">
        <v>577</v>
      </c>
      <c r="E32" s="3">
        <v>3</v>
      </c>
      <c r="F32" s="3">
        <v>170</v>
      </c>
      <c r="G32">
        <v>172</v>
      </c>
      <c r="H32" t="s">
        <v>454</v>
      </c>
      <c r="I32" s="6">
        <v>45.094200000000001</v>
      </c>
      <c r="J32" s="6">
        <v>35.000155231294627</v>
      </c>
      <c r="K32" s="5">
        <v>1.2884</v>
      </c>
      <c r="L32" s="3">
        <v>37</v>
      </c>
      <c r="M32">
        <v>53</v>
      </c>
      <c r="N32">
        <v>52.095999999999997</v>
      </c>
      <c r="O32" s="5">
        <v>1.0174000000000001</v>
      </c>
      <c r="P32" s="3">
        <v>169</v>
      </c>
      <c r="Q32">
        <v>55</v>
      </c>
      <c r="R32">
        <v>278</v>
      </c>
      <c r="S32" s="5">
        <v>0.19784172661870503</v>
      </c>
      <c r="T32" s="5">
        <v>0.24001179985285093</v>
      </c>
      <c r="U32" s="5">
        <v>0.82430000000000003</v>
      </c>
      <c r="V32" s="3">
        <v>128</v>
      </c>
      <c r="W32" s="5">
        <v>1.1786947462719501</v>
      </c>
      <c r="X32" s="3">
        <v>123</v>
      </c>
      <c r="Y32">
        <v>9.1</v>
      </c>
      <c r="Z32" s="3">
        <v>181</v>
      </c>
      <c r="AA32">
        <v>0</v>
      </c>
      <c r="AB32">
        <v>62</v>
      </c>
      <c r="AC32" s="5">
        <v>0</v>
      </c>
      <c r="AD32" s="5">
        <v>0.1</v>
      </c>
      <c r="AE32" s="5">
        <v>0</v>
      </c>
      <c r="AF32" s="3">
        <v>310</v>
      </c>
      <c r="AG32" s="5">
        <v>0.394841</v>
      </c>
      <c r="AH32" s="5">
        <v>0.4</v>
      </c>
      <c r="AI32" s="5">
        <v>0.98709999999999998</v>
      </c>
      <c r="AJ32" s="3">
        <v>125</v>
      </c>
      <c r="AK32">
        <v>4</v>
      </c>
      <c r="AL32">
        <v>12</v>
      </c>
      <c r="AM32" s="5">
        <v>0.33333333333333331</v>
      </c>
      <c r="AN32" s="5">
        <v>0.8</v>
      </c>
      <c r="AO32" s="5">
        <v>0.41670000000000001</v>
      </c>
      <c r="AP32" s="3">
        <v>325</v>
      </c>
    </row>
    <row r="33" spans="1:42">
      <c r="A33" s="4" t="str">
        <f>_xlfn.XLOOKUP(Table1[[#This Row],[SAP]],'Location List'!B:B,'Location List'!G:G)</f>
        <v>SA SOUTH</v>
      </c>
      <c r="B33" s="4" t="str">
        <f>LEFT(Table1[[#This Row],[Sap: Loaction]],4)</f>
        <v>4723</v>
      </c>
      <c r="C33" t="s">
        <v>973</v>
      </c>
      <c r="D33" t="s">
        <v>534</v>
      </c>
      <c r="E33" s="3">
        <v>3</v>
      </c>
      <c r="F33" s="3">
        <v>171</v>
      </c>
      <c r="G33">
        <v>172.2</v>
      </c>
      <c r="H33" t="s">
        <v>454</v>
      </c>
      <c r="I33" s="6">
        <v>13.151</v>
      </c>
      <c r="J33" s="6">
        <v>39.996958637469589</v>
      </c>
      <c r="K33" s="5">
        <v>0.32879999999999998</v>
      </c>
      <c r="L33" s="3">
        <v>287</v>
      </c>
      <c r="M33">
        <v>61</v>
      </c>
      <c r="N33">
        <v>68.399000000000001</v>
      </c>
      <c r="O33" s="5">
        <v>0.89180000000000004</v>
      </c>
      <c r="P33" s="3">
        <v>217</v>
      </c>
      <c r="Q33">
        <v>83</v>
      </c>
      <c r="R33">
        <v>363</v>
      </c>
      <c r="S33" s="5">
        <v>0.22865013774104684</v>
      </c>
      <c r="T33" s="5">
        <v>0.24000224387640059</v>
      </c>
      <c r="U33" s="5">
        <v>0.95269999999999999</v>
      </c>
      <c r="V33" s="3">
        <v>80</v>
      </c>
      <c r="W33" s="5">
        <v>0.89408009169631941</v>
      </c>
      <c r="X33" s="3">
        <v>227</v>
      </c>
      <c r="Y33">
        <v>10</v>
      </c>
      <c r="Z33" s="3">
        <v>1</v>
      </c>
      <c r="AA33">
        <v>3</v>
      </c>
      <c r="AB33">
        <v>58</v>
      </c>
      <c r="AC33" s="5">
        <v>5.1724137931034482E-2</v>
      </c>
      <c r="AD33" s="5">
        <v>0.1</v>
      </c>
      <c r="AE33" s="5">
        <v>0.51719999999999999</v>
      </c>
      <c r="AF33" s="3">
        <v>216</v>
      </c>
      <c r="AG33" s="5">
        <v>0.50057466666666672</v>
      </c>
      <c r="AH33" s="5">
        <v>0.4</v>
      </c>
      <c r="AI33" s="5">
        <v>1.2514000000000001</v>
      </c>
      <c r="AJ33" s="3">
        <v>50</v>
      </c>
      <c r="AK33">
        <v>9</v>
      </c>
      <c r="AL33">
        <v>14</v>
      </c>
      <c r="AM33" s="5">
        <v>0.6428571428571429</v>
      </c>
      <c r="AN33" s="5">
        <v>0.8</v>
      </c>
      <c r="AO33" s="5">
        <v>0.80359999999999998</v>
      </c>
      <c r="AP33" s="3">
        <v>244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5564</v>
      </c>
      <c r="C34" t="s">
        <v>973</v>
      </c>
      <c r="D34" t="s">
        <v>542</v>
      </c>
      <c r="E34" s="3">
        <v>3</v>
      </c>
      <c r="F34" s="3">
        <v>172</v>
      </c>
      <c r="G34">
        <v>172.3</v>
      </c>
      <c r="H34" t="s">
        <v>454</v>
      </c>
      <c r="I34" s="6">
        <v>32.660200000000003</v>
      </c>
      <c r="J34" s="6">
        <v>35.001821884042442</v>
      </c>
      <c r="K34" s="5">
        <v>0.93310000000000004</v>
      </c>
      <c r="L34" s="3">
        <v>104</v>
      </c>
      <c r="M34">
        <v>56</v>
      </c>
      <c r="N34">
        <v>57.765000000000001</v>
      </c>
      <c r="O34" s="5">
        <v>0.96940000000000004</v>
      </c>
      <c r="P34" s="3">
        <v>183</v>
      </c>
      <c r="Q34">
        <v>55</v>
      </c>
      <c r="R34">
        <v>323</v>
      </c>
      <c r="S34" s="5">
        <v>0.17027863777089783</v>
      </c>
      <c r="T34" s="5">
        <v>0.23999808001535985</v>
      </c>
      <c r="U34" s="5">
        <v>0.70950000000000002</v>
      </c>
      <c r="V34" s="3">
        <v>188</v>
      </c>
      <c r="W34" s="5">
        <v>1.1058379490034456</v>
      </c>
      <c r="X34" s="3">
        <v>145</v>
      </c>
      <c r="Y34">
        <v>8.375</v>
      </c>
      <c r="Z34" s="3">
        <v>259</v>
      </c>
      <c r="AA34">
        <v>4</v>
      </c>
      <c r="AB34">
        <v>78</v>
      </c>
      <c r="AC34" s="5">
        <v>5.128205128205128E-2</v>
      </c>
      <c r="AD34" s="5">
        <v>0.1</v>
      </c>
      <c r="AE34" s="5">
        <v>0.51280000000000003</v>
      </c>
      <c r="AF34" s="3">
        <v>217</v>
      </c>
      <c r="AG34" s="5">
        <v>0.37475600000000003</v>
      </c>
      <c r="AH34" s="5">
        <v>0.4</v>
      </c>
      <c r="AI34" s="5">
        <v>0.93689999999999996</v>
      </c>
      <c r="AJ34" s="3">
        <v>149</v>
      </c>
      <c r="AK34">
        <v>7</v>
      </c>
      <c r="AL34">
        <v>8</v>
      </c>
      <c r="AM34" s="5">
        <v>0.875</v>
      </c>
      <c r="AN34" s="5">
        <v>0.8</v>
      </c>
      <c r="AO34" s="5">
        <v>1.0938000000000001</v>
      </c>
      <c r="AP34" s="3">
        <v>132</v>
      </c>
    </row>
    <row r="35" spans="1:42">
      <c r="A35" s="4" t="str">
        <f>_xlfn.XLOOKUP(Table1[[#This Row],[SAP]],'Location List'!B:B,'Location List'!G:G)</f>
        <v>SA/HILL COUNTRY</v>
      </c>
      <c r="B35" s="4" t="str">
        <f>LEFT(Table1[[#This Row],[Sap: Loaction]],4)</f>
        <v>583D</v>
      </c>
      <c r="C35" t="s">
        <v>973</v>
      </c>
      <c r="D35" t="s">
        <v>538</v>
      </c>
      <c r="E35" s="3">
        <v>3</v>
      </c>
      <c r="F35" s="3">
        <v>173</v>
      </c>
      <c r="G35">
        <v>172.35</v>
      </c>
      <c r="H35" t="s">
        <v>454</v>
      </c>
      <c r="I35" s="6">
        <v>20.475999999999999</v>
      </c>
      <c r="J35" s="6">
        <v>40</v>
      </c>
      <c r="K35" s="5">
        <v>0.51190000000000002</v>
      </c>
      <c r="L35" s="3">
        <v>234</v>
      </c>
      <c r="M35">
        <v>50</v>
      </c>
      <c r="N35">
        <v>52.448999999999998</v>
      </c>
      <c r="O35" s="5">
        <v>0.95330000000000004</v>
      </c>
      <c r="P35" s="3">
        <v>191</v>
      </c>
      <c r="Q35">
        <v>60</v>
      </c>
      <c r="R35">
        <v>324</v>
      </c>
      <c r="S35" s="5">
        <v>0.18518518518518517</v>
      </c>
      <c r="T35" s="5">
        <v>0.24000153600983046</v>
      </c>
      <c r="U35" s="5">
        <v>0.77159999999999995</v>
      </c>
      <c r="V35" s="3">
        <v>152</v>
      </c>
      <c r="W35" s="5">
        <v>1.3422266651180335</v>
      </c>
      <c r="X35" s="3">
        <v>81</v>
      </c>
      <c r="Y35">
        <v>9.7272999999999996</v>
      </c>
      <c r="Z35" s="3">
        <v>100</v>
      </c>
      <c r="AA35">
        <v>6</v>
      </c>
      <c r="AB35">
        <v>58</v>
      </c>
      <c r="AC35" s="5">
        <v>0.10344827586206896</v>
      </c>
      <c r="AD35" s="5">
        <v>0.1</v>
      </c>
      <c r="AE35" s="5">
        <v>1.0345</v>
      </c>
      <c r="AF35" s="3">
        <v>126</v>
      </c>
      <c r="AG35" s="5">
        <v>0.21428533333333333</v>
      </c>
      <c r="AH35" s="5">
        <v>0.4</v>
      </c>
      <c r="AI35" s="5">
        <v>0.53569999999999995</v>
      </c>
      <c r="AJ35" s="3">
        <v>277</v>
      </c>
      <c r="AK35">
        <v>10</v>
      </c>
      <c r="AL35">
        <v>14</v>
      </c>
      <c r="AM35" s="5">
        <v>0.7142857142857143</v>
      </c>
      <c r="AN35" s="5">
        <v>0.8</v>
      </c>
      <c r="AO35" s="5">
        <v>0.89290000000000003</v>
      </c>
      <c r="AP35" s="3">
        <v>211</v>
      </c>
    </row>
    <row r="36" spans="1:42">
      <c r="A36" s="4" t="str">
        <f>_xlfn.XLOOKUP(Table1[[#This Row],[SAP]],'Location List'!B:B,'Location List'!G:G)</f>
        <v>CENTRAL TEXAS</v>
      </c>
      <c r="B36" s="4" t="str">
        <f>LEFT(Table1[[#This Row],[Sap: Loaction]],4)</f>
        <v>1FSH</v>
      </c>
      <c r="C36" t="s">
        <v>973</v>
      </c>
      <c r="D36" t="s">
        <v>508</v>
      </c>
      <c r="E36" s="3">
        <v>3</v>
      </c>
      <c r="F36" s="3">
        <v>179</v>
      </c>
      <c r="G36">
        <v>175.05</v>
      </c>
      <c r="H36" t="s">
        <v>454</v>
      </c>
      <c r="I36" s="6">
        <v>34.674700000000001</v>
      </c>
      <c r="J36" s="6">
        <v>39.998500403737459</v>
      </c>
      <c r="K36" s="5">
        <v>0.8669</v>
      </c>
      <c r="L36" s="3">
        <v>122</v>
      </c>
      <c r="M36">
        <v>90</v>
      </c>
      <c r="N36">
        <v>80.8</v>
      </c>
      <c r="O36" s="5">
        <v>1.1138999999999999</v>
      </c>
      <c r="P36" s="3">
        <v>140</v>
      </c>
      <c r="Q36">
        <v>84</v>
      </c>
      <c r="R36">
        <v>563</v>
      </c>
      <c r="S36" s="5">
        <v>0.1492007104795737</v>
      </c>
      <c r="T36" s="5">
        <v>0.23998827485857116</v>
      </c>
      <c r="U36" s="5">
        <v>0.62170000000000003</v>
      </c>
      <c r="V36" s="3">
        <v>246</v>
      </c>
      <c r="W36" s="5">
        <v>1.0068386818166661</v>
      </c>
      <c r="X36" s="3">
        <v>189</v>
      </c>
      <c r="Y36">
        <v>9.0455000000000005</v>
      </c>
      <c r="Z36" s="3">
        <v>194</v>
      </c>
      <c r="AA36">
        <v>19</v>
      </c>
      <c r="AB36">
        <v>74</v>
      </c>
      <c r="AC36" s="5">
        <v>0.25675675675675674</v>
      </c>
      <c r="AD36" s="5">
        <v>0.1</v>
      </c>
      <c r="AE36" s="5">
        <v>2.5676000000000001</v>
      </c>
      <c r="AF36" s="3">
        <v>23</v>
      </c>
      <c r="AG36" s="5">
        <v>0.27121666666666666</v>
      </c>
      <c r="AH36" s="5">
        <v>0.4</v>
      </c>
      <c r="AI36" s="5">
        <v>0.67800000000000005</v>
      </c>
      <c r="AJ36" s="3">
        <v>230</v>
      </c>
      <c r="AK36">
        <v>6</v>
      </c>
      <c r="AL36">
        <v>25</v>
      </c>
      <c r="AM36" s="5">
        <v>0.24</v>
      </c>
      <c r="AN36" s="5">
        <v>0.8</v>
      </c>
      <c r="AO36" s="5">
        <v>0.3</v>
      </c>
      <c r="AP36" s="3">
        <v>341</v>
      </c>
    </row>
    <row r="37" spans="1:42">
      <c r="A37" s="4" t="str">
        <f>_xlfn.XLOOKUP(Table1[[#This Row],[SAP]],'Location List'!B:B,'Location List'!G:G)</f>
        <v>SA/HILL COUNTRY</v>
      </c>
      <c r="B37" s="4" t="str">
        <f>LEFT(Table1[[#This Row],[Sap: Loaction]],4)</f>
        <v>1ESD</v>
      </c>
      <c r="C37" t="s">
        <v>973</v>
      </c>
      <c r="D37" t="s">
        <v>573</v>
      </c>
      <c r="E37" s="3">
        <v>3</v>
      </c>
      <c r="F37" s="3">
        <v>180</v>
      </c>
      <c r="G37">
        <v>175.35</v>
      </c>
      <c r="H37" t="s">
        <v>454</v>
      </c>
      <c r="I37" s="6">
        <v>24.925000000000001</v>
      </c>
      <c r="J37" s="6">
        <v>40.00160487883165</v>
      </c>
      <c r="K37" s="5">
        <v>0.62309999999999999</v>
      </c>
      <c r="L37" s="3">
        <v>189</v>
      </c>
      <c r="M37">
        <v>80</v>
      </c>
      <c r="N37">
        <v>68.396000000000001</v>
      </c>
      <c r="O37" s="5">
        <v>1.1697</v>
      </c>
      <c r="P37" s="3">
        <v>120</v>
      </c>
      <c r="Q37">
        <v>93</v>
      </c>
      <c r="R37">
        <v>464</v>
      </c>
      <c r="S37" s="5">
        <v>0.20043103448275862</v>
      </c>
      <c r="T37" s="5">
        <v>0.24000842352144489</v>
      </c>
      <c r="U37" s="5">
        <v>0.83509999999999995</v>
      </c>
      <c r="V37" s="3">
        <v>120</v>
      </c>
      <c r="W37" s="5">
        <v>1.0205071981409748</v>
      </c>
      <c r="X37" s="3">
        <v>182</v>
      </c>
      <c r="Y37">
        <v>9.1</v>
      </c>
      <c r="Z37" s="3">
        <v>181</v>
      </c>
      <c r="AA37">
        <v>4</v>
      </c>
      <c r="AB37">
        <v>85</v>
      </c>
      <c r="AC37" s="5">
        <v>4.7058823529411764E-2</v>
      </c>
      <c r="AD37" s="5">
        <v>0.1</v>
      </c>
      <c r="AE37" s="5">
        <v>0.47060000000000002</v>
      </c>
      <c r="AF37" s="3">
        <v>224</v>
      </c>
      <c r="AG37" s="5">
        <v>0.382936</v>
      </c>
      <c r="AH37" s="5">
        <v>0.4</v>
      </c>
      <c r="AI37" s="5">
        <v>0.95730000000000004</v>
      </c>
      <c r="AJ37" s="3">
        <v>138</v>
      </c>
      <c r="AK37">
        <v>20</v>
      </c>
      <c r="AL37">
        <v>36</v>
      </c>
      <c r="AM37" s="5">
        <v>0.55555555555555558</v>
      </c>
      <c r="AN37" s="5">
        <v>0.8</v>
      </c>
      <c r="AO37" s="5">
        <v>0.69440000000000002</v>
      </c>
      <c r="AP37" s="3">
        <v>273</v>
      </c>
    </row>
    <row r="38" spans="1:42">
      <c r="A38" s="4" t="str">
        <f>_xlfn.XLOOKUP(Table1[[#This Row],[SAP]],'Location List'!B:B,'Location List'!G:G)</f>
        <v>SA/HILL COUNTRY</v>
      </c>
      <c r="B38" s="4" t="str">
        <f>LEFT(Table1[[#This Row],[Sap: Loaction]],4)</f>
        <v>767D</v>
      </c>
      <c r="C38" t="s">
        <v>973</v>
      </c>
      <c r="D38" t="s">
        <v>562</v>
      </c>
      <c r="E38" s="3">
        <v>3</v>
      </c>
      <c r="F38" s="3">
        <v>188</v>
      </c>
      <c r="G38">
        <v>178.55</v>
      </c>
      <c r="H38" t="s">
        <v>454</v>
      </c>
      <c r="I38" s="6">
        <v>28.2531</v>
      </c>
      <c r="J38" s="6">
        <v>35.001362735381562</v>
      </c>
      <c r="K38" s="5">
        <v>0.80720000000000003</v>
      </c>
      <c r="L38" s="3">
        <v>140</v>
      </c>
      <c r="M38">
        <v>45</v>
      </c>
      <c r="N38">
        <v>36.856999999999999</v>
      </c>
      <c r="O38" s="5">
        <v>1.2209000000000001</v>
      </c>
      <c r="P38" s="3">
        <v>106</v>
      </c>
      <c r="Q38">
        <v>47</v>
      </c>
      <c r="R38">
        <v>253</v>
      </c>
      <c r="S38" s="5">
        <v>0.1857707509881423</v>
      </c>
      <c r="T38" s="5">
        <v>0.24001389016555852</v>
      </c>
      <c r="U38" s="5">
        <v>0.77400000000000002</v>
      </c>
      <c r="V38" s="3">
        <v>150</v>
      </c>
      <c r="W38" s="5">
        <v>0.75376372497041222</v>
      </c>
      <c r="X38" s="3">
        <v>287</v>
      </c>
      <c r="Y38">
        <v>9.6364000000000001</v>
      </c>
      <c r="Z38" s="3">
        <v>110</v>
      </c>
      <c r="AA38">
        <v>6</v>
      </c>
      <c r="AB38">
        <v>62</v>
      </c>
      <c r="AC38" s="5">
        <v>9.6774193548387094E-2</v>
      </c>
      <c r="AD38" s="5">
        <v>0.1</v>
      </c>
      <c r="AE38" s="5">
        <v>0.9677</v>
      </c>
      <c r="AF38" s="3">
        <v>137</v>
      </c>
      <c r="AG38" s="5">
        <v>0.21428566666666668</v>
      </c>
      <c r="AH38" s="5">
        <v>0.4</v>
      </c>
      <c r="AI38" s="5">
        <v>0.53569999999999995</v>
      </c>
      <c r="AJ38" s="3">
        <v>277</v>
      </c>
      <c r="AK38">
        <v>4</v>
      </c>
      <c r="AL38">
        <v>10</v>
      </c>
      <c r="AM38" s="5">
        <v>0.4</v>
      </c>
      <c r="AN38" s="5">
        <v>0.8</v>
      </c>
      <c r="AO38" s="5">
        <v>0.5</v>
      </c>
      <c r="AP38" s="3">
        <v>312</v>
      </c>
    </row>
    <row r="39" spans="1:42">
      <c r="A39" s="4" t="str">
        <f>_xlfn.XLOOKUP(Table1[[#This Row],[SAP]],'Location List'!B:B,'Location List'!G:G)</f>
        <v>WEST TEXAS</v>
      </c>
      <c r="B39" s="4" t="str">
        <f>LEFT(Table1[[#This Row],[Sap: Loaction]],4)</f>
        <v>705D</v>
      </c>
      <c r="C39" t="s">
        <v>973</v>
      </c>
      <c r="D39" t="s">
        <v>518</v>
      </c>
      <c r="E39" s="3">
        <v>3</v>
      </c>
      <c r="F39" s="3">
        <v>192</v>
      </c>
      <c r="G39">
        <v>180.2</v>
      </c>
      <c r="H39" t="s">
        <v>454</v>
      </c>
      <c r="I39" s="6">
        <v>25.773700000000002</v>
      </c>
      <c r="J39" s="6">
        <v>40.002638522427446</v>
      </c>
      <c r="K39" s="5">
        <v>0.64429999999999998</v>
      </c>
      <c r="L39" s="3">
        <v>184</v>
      </c>
      <c r="M39">
        <v>57</v>
      </c>
      <c r="N39">
        <v>55.639000000000003</v>
      </c>
      <c r="O39" s="5">
        <v>1.0245</v>
      </c>
      <c r="P39" s="3">
        <v>165</v>
      </c>
      <c r="Q39">
        <v>77</v>
      </c>
      <c r="R39">
        <v>464</v>
      </c>
      <c r="S39" s="5">
        <v>0.16594827586206898</v>
      </c>
      <c r="T39" s="5">
        <v>0.23998304535367893</v>
      </c>
      <c r="U39" s="5">
        <v>0.6915</v>
      </c>
      <c r="V39" s="3">
        <v>206</v>
      </c>
      <c r="W39" s="5">
        <v>1.1984067238296281</v>
      </c>
      <c r="X39" s="3">
        <v>118</v>
      </c>
      <c r="Y39">
        <v>7</v>
      </c>
      <c r="Z39" s="3">
        <v>327</v>
      </c>
      <c r="AA39">
        <v>9</v>
      </c>
      <c r="AB39">
        <v>68</v>
      </c>
      <c r="AC39" s="5">
        <v>0.13235294117647059</v>
      </c>
      <c r="AD39" s="5">
        <v>0.1</v>
      </c>
      <c r="AE39" s="5">
        <v>1.3234999999999999</v>
      </c>
      <c r="AF39" s="3">
        <v>85</v>
      </c>
      <c r="AG39" s="5">
        <v>0.36827433333333337</v>
      </c>
      <c r="AH39" s="5">
        <v>0.4</v>
      </c>
      <c r="AI39" s="5">
        <v>0.92069999999999996</v>
      </c>
      <c r="AJ39" s="3">
        <v>156</v>
      </c>
      <c r="AK39">
        <v>11</v>
      </c>
      <c r="AL39">
        <v>17</v>
      </c>
      <c r="AM39" s="5">
        <v>0.6470588235294118</v>
      </c>
      <c r="AN39" s="5">
        <v>0.8</v>
      </c>
      <c r="AO39" s="5">
        <v>0.80879999999999996</v>
      </c>
      <c r="AP39" s="3">
        <v>241</v>
      </c>
    </row>
    <row r="40" spans="1:42">
      <c r="A40" s="4" t="str">
        <f>_xlfn.XLOOKUP(Table1[[#This Row],[SAP]],'Location List'!B:B,'Location List'!G:G)</f>
        <v>DFW EAST</v>
      </c>
      <c r="B40" s="4" t="str">
        <f>LEFT(Table1[[#This Row],[Sap: Loaction]],4)</f>
        <v>618E</v>
      </c>
      <c r="C40" t="s">
        <v>973</v>
      </c>
      <c r="D40" t="s">
        <v>511</v>
      </c>
      <c r="E40" s="3">
        <v>3</v>
      </c>
      <c r="F40" s="3">
        <v>193</v>
      </c>
      <c r="G40">
        <v>180.85</v>
      </c>
      <c r="H40" t="s">
        <v>454</v>
      </c>
      <c r="I40" s="6">
        <v>11.9383</v>
      </c>
      <c r="J40" s="6">
        <v>30.003267152550894</v>
      </c>
      <c r="K40" s="5">
        <v>0.39789999999999998</v>
      </c>
      <c r="L40" s="3">
        <v>270</v>
      </c>
      <c r="M40">
        <v>28</v>
      </c>
      <c r="N40">
        <v>34.728999999999999</v>
      </c>
      <c r="O40" s="5">
        <v>0.80620000000000003</v>
      </c>
      <c r="P40" s="3">
        <v>246</v>
      </c>
      <c r="Q40">
        <v>31</v>
      </c>
      <c r="R40">
        <v>183</v>
      </c>
      <c r="S40" s="5">
        <v>0.16939890710382513</v>
      </c>
      <c r="T40" s="5">
        <v>0.24000978620547625</v>
      </c>
      <c r="U40" s="5">
        <v>0.70579999999999998</v>
      </c>
      <c r="V40" s="3">
        <v>190</v>
      </c>
      <c r="W40" s="5">
        <v>0.49611597290742981</v>
      </c>
      <c r="X40" s="3">
        <v>335</v>
      </c>
      <c r="Y40">
        <v>9</v>
      </c>
      <c r="Z40" s="3">
        <v>196</v>
      </c>
      <c r="AA40">
        <v>3</v>
      </c>
      <c r="AB40">
        <v>20</v>
      </c>
      <c r="AC40" s="5">
        <v>0.15</v>
      </c>
      <c r="AD40" s="5">
        <v>0.1</v>
      </c>
      <c r="AE40" s="5">
        <v>1.5</v>
      </c>
      <c r="AF40" s="3">
        <v>69</v>
      </c>
      <c r="AG40" s="5">
        <v>0.69615349999999998</v>
      </c>
      <c r="AH40" s="5">
        <v>0.4</v>
      </c>
      <c r="AI40" s="5">
        <v>1.7403999999999999</v>
      </c>
      <c r="AJ40" s="3">
        <v>8</v>
      </c>
      <c r="AK40">
        <v>12</v>
      </c>
      <c r="AL40">
        <v>13</v>
      </c>
      <c r="AM40" s="5">
        <v>0.92307692307692313</v>
      </c>
      <c r="AN40" s="5">
        <v>0.8</v>
      </c>
      <c r="AO40" s="5">
        <v>1.1537999999999999</v>
      </c>
      <c r="AP40" s="3">
        <v>107</v>
      </c>
    </row>
    <row r="41" spans="1:42">
      <c r="A41" s="4" t="str">
        <f>_xlfn.XLOOKUP(Table1[[#This Row],[SAP]],'Location List'!B:B,'Location List'!G:G)</f>
        <v>CENTRAL TEXAS</v>
      </c>
      <c r="B41" s="4" t="str">
        <f>LEFT(Table1[[#This Row],[Sap: Loaction]],4)</f>
        <v>1FSI</v>
      </c>
      <c r="C41" t="s">
        <v>973</v>
      </c>
      <c r="D41" t="s">
        <v>520</v>
      </c>
      <c r="E41" s="3">
        <v>3</v>
      </c>
      <c r="F41" s="3">
        <v>195</v>
      </c>
      <c r="G41">
        <v>183.2</v>
      </c>
      <c r="H41" t="s">
        <v>454</v>
      </c>
      <c r="I41" s="6">
        <v>21.103400000000001</v>
      </c>
      <c r="J41" s="6">
        <v>34.997346600331674</v>
      </c>
      <c r="K41" s="5">
        <v>0.60299999999999998</v>
      </c>
      <c r="L41" s="3">
        <v>193</v>
      </c>
      <c r="M41">
        <v>30</v>
      </c>
      <c r="N41">
        <v>43.234000000000002</v>
      </c>
      <c r="O41" s="5">
        <v>0.69389999999999996</v>
      </c>
      <c r="P41" s="3">
        <v>280</v>
      </c>
      <c r="Q41">
        <v>56</v>
      </c>
      <c r="R41">
        <v>307</v>
      </c>
      <c r="S41" s="5">
        <v>0.18241042345276873</v>
      </c>
      <c r="T41" s="5">
        <v>0.24001371506943253</v>
      </c>
      <c r="U41" s="5">
        <v>0.76</v>
      </c>
      <c r="V41" s="3">
        <v>163</v>
      </c>
      <c r="W41" s="5">
        <v>1.1744999435829422</v>
      </c>
      <c r="X41" s="3">
        <v>124</v>
      </c>
      <c r="Y41">
        <v>9.8666999999999998</v>
      </c>
      <c r="Z41" s="3">
        <v>79</v>
      </c>
      <c r="AA41">
        <v>1</v>
      </c>
      <c r="AB41">
        <v>19</v>
      </c>
      <c r="AC41" s="5">
        <v>5.2631578947368418E-2</v>
      </c>
      <c r="AD41" s="5">
        <v>0.1</v>
      </c>
      <c r="AE41" s="5">
        <v>0.52629999999999999</v>
      </c>
      <c r="AF41" s="3">
        <v>214</v>
      </c>
      <c r="AG41" s="5">
        <v>0.388241</v>
      </c>
      <c r="AH41" s="5">
        <v>0.4</v>
      </c>
      <c r="AI41" s="5">
        <v>0.97060000000000002</v>
      </c>
      <c r="AJ41" s="3">
        <v>132</v>
      </c>
      <c r="AK41">
        <v>9</v>
      </c>
      <c r="AL41">
        <v>13</v>
      </c>
      <c r="AM41" s="5">
        <v>0.69230769230769229</v>
      </c>
      <c r="AN41" s="5">
        <v>0.8</v>
      </c>
      <c r="AO41" s="5">
        <v>0.86539999999999995</v>
      </c>
      <c r="AP41" s="3">
        <v>222</v>
      </c>
    </row>
    <row r="42" spans="1:42">
      <c r="A42" s="4" t="str">
        <f>_xlfn.XLOOKUP(Table1[[#This Row],[SAP]],'Location List'!B:B,'Location List'!G:G)</f>
        <v>DFW NORTH</v>
      </c>
      <c r="B42" s="4" t="str">
        <f>LEFT(Table1[[#This Row],[Sap: Loaction]],4)</f>
        <v>1239</v>
      </c>
      <c r="C42" t="s">
        <v>973</v>
      </c>
      <c r="D42" t="s">
        <v>582</v>
      </c>
      <c r="E42" s="3">
        <v>3</v>
      </c>
      <c r="F42" s="3">
        <v>196</v>
      </c>
      <c r="G42">
        <v>184.45</v>
      </c>
      <c r="H42" t="s">
        <v>454</v>
      </c>
      <c r="I42" s="6">
        <v>-6.8342999999999998</v>
      </c>
      <c r="J42" s="6">
        <v>34.993855606758828</v>
      </c>
      <c r="K42" s="5">
        <v>-0.1953</v>
      </c>
      <c r="L42" s="3">
        <v>340</v>
      </c>
      <c r="M42">
        <v>63</v>
      </c>
      <c r="N42">
        <v>53.512999999999998</v>
      </c>
      <c r="O42" s="5">
        <v>1.1773</v>
      </c>
      <c r="P42" s="3">
        <v>117</v>
      </c>
      <c r="Q42">
        <v>73</v>
      </c>
      <c r="R42">
        <v>470</v>
      </c>
      <c r="S42" s="5">
        <v>0.15531914893617021</v>
      </c>
      <c r="T42" s="5">
        <v>0.23998632406701206</v>
      </c>
      <c r="U42" s="5">
        <v>0.6472</v>
      </c>
      <c r="V42" s="3">
        <v>230</v>
      </c>
      <c r="W42" s="5">
        <v>1.4052243208924147</v>
      </c>
      <c r="X42" s="3">
        <v>67</v>
      </c>
      <c r="Y42">
        <v>10</v>
      </c>
      <c r="Z42" s="3">
        <v>1</v>
      </c>
      <c r="AA42">
        <v>0</v>
      </c>
      <c r="AB42">
        <v>58</v>
      </c>
      <c r="AC42" s="5">
        <v>0</v>
      </c>
      <c r="AD42" s="5">
        <v>0.1</v>
      </c>
      <c r="AE42" s="5">
        <v>0</v>
      </c>
      <c r="AF42" s="3">
        <v>310</v>
      </c>
      <c r="AG42" s="5">
        <v>0.45692400000000005</v>
      </c>
      <c r="AH42" s="5">
        <v>0.4</v>
      </c>
      <c r="AI42" s="5">
        <v>1.1423000000000001</v>
      </c>
      <c r="AJ42" s="3">
        <v>70</v>
      </c>
      <c r="AK42">
        <v>15</v>
      </c>
      <c r="AL42">
        <v>21</v>
      </c>
      <c r="AM42" s="5">
        <v>0.7142857142857143</v>
      </c>
      <c r="AN42" s="5">
        <v>0.8</v>
      </c>
      <c r="AO42" s="5">
        <v>0.89290000000000003</v>
      </c>
      <c r="AP42" s="3">
        <v>211</v>
      </c>
    </row>
    <row r="43" spans="1:42">
      <c r="A43" s="4" t="str">
        <f>_xlfn.XLOOKUP(Table1[[#This Row],[SAP]],'Location List'!B:B,'Location List'!G:G)</f>
        <v>MO/IA/NE</v>
      </c>
      <c r="B43" s="4" t="str">
        <f>LEFT(Table1[[#This Row],[Sap: Loaction]],4)</f>
        <v>4ASA</v>
      </c>
      <c r="C43" t="s">
        <v>973</v>
      </c>
      <c r="D43" t="s">
        <v>550</v>
      </c>
      <c r="E43" s="3">
        <v>3</v>
      </c>
      <c r="F43" s="3">
        <v>197</v>
      </c>
      <c r="G43">
        <v>186.05</v>
      </c>
      <c r="H43" t="s">
        <v>454</v>
      </c>
      <c r="I43" s="6">
        <v>43.866500000000002</v>
      </c>
      <c r="J43" s="6">
        <v>39.998632260417615</v>
      </c>
      <c r="K43" s="5">
        <v>1.0967</v>
      </c>
      <c r="L43" s="3">
        <v>73</v>
      </c>
      <c r="M43">
        <v>55</v>
      </c>
      <c r="N43">
        <v>39.338999999999999</v>
      </c>
      <c r="O43" s="5">
        <v>1.3980999999999999</v>
      </c>
      <c r="P43" s="3">
        <v>68</v>
      </c>
      <c r="Q43">
        <v>83</v>
      </c>
      <c r="R43">
        <v>606</v>
      </c>
      <c r="S43" s="5">
        <v>0.13696369636963696</v>
      </c>
      <c r="T43" s="5">
        <v>0.23999245903213065</v>
      </c>
      <c r="U43" s="5">
        <v>0.57069999999999999</v>
      </c>
      <c r="V43" s="3">
        <v>279</v>
      </c>
      <c r="W43" s="5">
        <v>1.3390865313937983</v>
      </c>
      <c r="X43" s="3">
        <v>83</v>
      </c>
      <c r="Y43">
        <v>8.6189999999999998</v>
      </c>
      <c r="Z43" s="3">
        <v>241</v>
      </c>
      <c r="AA43">
        <v>2</v>
      </c>
      <c r="AB43">
        <v>102</v>
      </c>
      <c r="AC43" s="5">
        <v>1.9607843137254902E-2</v>
      </c>
      <c r="AD43" s="5">
        <v>0.1</v>
      </c>
      <c r="AE43" s="5">
        <v>0.1961</v>
      </c>
      <c r="AF43" s="3">
        <v>291</v>
      </c>
      <c r="AG43" s="5">
        <v>0.36402066666666671</v>
      </c>
      <c r="AH43" s="5">
        <v>0.4</v>
      </c>
      <c r="AI43" s="5">
        <v>0.91010000000000002</v>
      </c>
      <c r="AJ43" s="3">
        <v>161</v>
      </c>
      <c r="AK43">
        <v>10</v>
      </c>
      <c r="AL43">
        <v>23</v>
      </c>
      <c r="AM43" s="5">
        <v>0.43478260869565216</v>
      </c>
      <c r="AN43" s="5">
        <v>0.8</v>
      </c>
      <c r="AO43" s="5">
        <v>0.54349999999999998</v>
      </c>
      <c r="AP43" s="3">
        <v>309</v>
      </c>
    </row>
    <row r="44" spans="1:42">
      <c r="A44" s="4" t="str">
        <f>_xlfn.XLOOKUP(Table1[[#This Row],[SAP]],'Location List'!B:B,'Location List'!G:G)</f>
        <v>SA SOUTH</v>
      </c>
      <c r="B44" s="4" t="str">
        <f>LEFT(Table1[[#This Row],[Sap: Loaction]],4)</f>
        <v>584D</v>
      </c>
      <c r="C44" t="s">
        <v>973</v>
      </c>
      <c r="D44" t="s">
        <v>579</v>
      </c>
      <c r="E44" s="3">
        <v>3</v>
      </c>
      <c r="F44" s="3">
        <v>198</v>
      </c>
      <c r="G44">
        <v>188.5</v>
      </c>
      <c r="H44" t="s">
        <v>454</v>
      </c>
      <c r="I44" s="6">
        <v>17.8902</v>
      </c>
      <c r="J44" s="6">
        <v>35.003326159264333</v>
      </c>
      <c r="K44" s="5">
        <v>0.5111</v>
      </c>
      <c r="L44" s="3">
        <v>235</v>
      </c>
      <c r="M44">
        <v>30</v>
      </c>
      <c r="N44">
        <v>43.945</v>
      </c>
      <c r="O44" s="5">
        <v>0.68269999999999997</v>
      </c>
      <c r="P44" s="3">
        <v>285</v>
      </c>
      <c r="Q44">
        <v>42</v>
      </c>
      <c r="R44">
        <v>288</v>
      </c>
      <c r="S44" s="5">
        <v>0.14583333333333334</v>
      </c>
      <c r="T44" s="5">
        <v>0.24001536098310292</v>
      </c>
      <c r="U44" s="5">
        <v>0.60760000000000003</v>
      </c>
      <c r="V44" s="3">
        <v>259</v>
      </c>
      <c r="W44" s="5">
        <v>0.8643750879387827</v>
      </c>
      <c r="X44" s="3">
        <v>235</v>
      </c>
      <c r="Y44">
        <v>10</v>
      </c>
      <c r="Z44" s="3">
        <v>1</v>
      </c>
      <c r="AA44">
        <v>3</v>
      </c>
      <c r="AB44">
        <v>17</v>
      </c>
      <c r="AC44" s="5">
        <v>0.17647058823529413</v>
      </c>
      <c r="AD44" s="5">
        <v>0.1</v>
      </c>
      <c r="AE44" s="5">
        <v>1.7646999999999999</v>
      </c>
      <c r="AF44" s="3">
        <v>51</v>
      </c>
      <c r="AG44" s="5">
        <v>0.38888866666666666</v>
      </c>
      <c r="AH44" s="5">
        <v>0.4</v>
      </c>
      <c r="AI44" s="5">
        <v>0.97219999999999995</v>
      </c>
      <c r="AJ44" s="3">
        <v>131</v>
      </c>
      <c r="AK44">
        <v>5</v>
      </c>
      <c r="AL44">
        <v>9</v>
      </c>
      <c r="AM44" s="5">
        <v>0.55555555555555558</v>
      </c>
      <c r="AN44" s="5">
        <v>0.8</v>
      </c>
      <c r="AO44" s="5">
        <v>0.69440000000000002</v>
      </c>
      <c r="AP44" s="3">
        <v>273</v>
      </c>
    </row>
    <row r="45" spans="1:42">
      <c r="A45" s="4" t="str">
        <f>_xlfn.XLOOKUP(Table1[[#This Row],[SAP]],'Location List'!B:B,'Location List'!G:G)</f>
        <v>WEST TEXAS</v>
      </c>
      <c r="B45" s="4" t="str">
        <f>LEFT(Table1[[#This Row],[Sap: Loaction]],4)</f>
        <v>1FSZ</v>
      </c>
      <c r="C45" t="s">
        <v>973</v>
      </c>
      <c r="D45" t="s">
        <v>533</v>
      </c>
      <c r="E45" s="3">
        <v>3</v>
      </c>
      <c r="F45" s="3">
        <v>199</v>
      </c>
      <c r="G45">
        <v>189.6</v>
      </c>
      <c r="H45" t="s">
        <v>454</v>
      </c>
      <c r="I45" s="6">
        <v>40.119399999999999</v>
      </c>
      <c r="J45" s="6">
        <v>39.999401794616155</v>
      </c>
      <c r="K45" s="5">
        <v>1.0029999999999999</v>
      </c>
      <c r="L45" s="3">
        <v>92</v>
      </c>
      <c r="M45">
        <v>100</v>
      </c>
      <c r="N45">
        <v>98.876999999999995</v>
      </c>
      <c r="O45" s="5">
        <v>1.0114000000000001</v>
      </c>
      <c r="P45" s="3">
        <v>172</v>
      </c>
      <c r="Q45">
        <v>90</v>
      </c>
      <c r="R45">
        <v>662</v>
      </c>
      <c r="S45" s="5">
        <v>0.13595166163141995</v>
      </c>
      <c r="T45" s="5">
        <v>0.2399852809027713</v>
      </c>
      <c r="U45" s="5">
        <v>0.5665</v>
      </c>
      <c r="V45" s="3">
        <v>283</v>
      </c>
      <c r="W45" s="5">
        <v>0.83001865334982072</v>
      </c>
      <c r="X45" s="3">
        <v>247</v>
      </c>
      <c r="Y45">
        <v>8.3529</v>
      </c>
      <c r="Z45" s="3">
        <v>264</v>
      </c>
      <c r="AA45">
        <v>9</v>
      </c>
      <c r="AB45">
        <v>116</v>
      </c>
      <c r="AC45" s="5">
        <v>7.7586206896551727E-2</v>
      </c>
      <c r="AD45" s="5">
        <v>0.1</v>
      </c>
      <c r="AE45" s="5">
        <v>0.77590000000000003</v>
      </c>
      <c r="AF45" s="3">
        <v>165</v>
      </c>
      <c r="AG45" s="5">
        <v>0.42351166666666668</v>
      </c>
      <c r="AH45" s="5">
        <v>0.4</v>
      </c>
      <c r="AI45" s="5">
        <v>1.0588</v>
      </c>
      <c r="AJ45" s="3">
        <v>96</v>
      </c>
      <c r="AK45">
        <v>25</v>
      </c>
      <c r="AL45">
        <v>36</v>
      </c>
      <c r="AM45" s="5">
        <v>0.69444444444444442</v>
      </c>
      <c r="AN45" s="5">
        <v>0.8</v>
      </c>
      <c r="AO45" s="5">
        <v>0.86809999999999998</v>
      </c>
      <c r="AP45" s="3">
        <v>221</v>
      </c>
    </row>
    <row r="46" spans="1:42">
      <c r="A46" s="4" t="str">
        <f>_xlfn.XLOOKUP(Table1[[#This Row],[SAP]],'Location List'!B:B,'Location List'!G:G)</f>
        <v>DFW NORTH</v>
      </c>
      <c r="B46" s="4" t="str">
        <f>LEFT(Table1[[#This Row],[Sap: Loaction]],4)</f>
        <v>1BSE</v>
      </c>
      <c r="C46" t="s">
        <v>973</v>
      </c>
      <c r="D46" t="s">
        <v>545</v>
      </c>
      <c r="E46" s="3">
        <v>3</v>
      </c>
      <c r="F46" s="3">
        <v>200</v>
      </c>
      <c r="G46">
        <v>189.95</v>
      </c>
      <c r="H46" t="s">
        <v>454</v>
      </c>
      <c r="I46" s="6">
        <v>17.599499999999999</v>
      </c>
      <c r="J46" s="6">
        <v>39.998863636363637</v>
      </c>
      <c r="K46" s="5">
        <v>0.44</v>
      </c>
      <c r="L46" s="3">
        <v>257</v>
      </c>
      <c r="M46">
        <v>43</v>
      </c>
      <c r="N46">
        <v>56.7</v>
      </c>
      <c r="O46" s="5">
        <v>0.75839999999999996</v>
      </c>
      <c r="P46" s="3">
        <v>263</v>
      </c>
      <c r="Q46">
        <v>58</v>
      </c>
      <c r="R46">
        <v>336</v>
      </c>
      <c r="S46" s="5">
        <v>0.17261904761904762</v>
      </c>
      <c r="T46" s="5">
        <v>0.24001536098310294</v>
      </c>
      <c r="U46" s="5">
        <v>0.71919999999999995</v>
      </c>
      <c r="V46" s="3">
        <v>182</v>
      </c>
      <c r="W46" s="5">
        <v>0.70190668362478226</v>
      </c>
      <c r="X46" s="3">
        <v>300</v>
      </c>
      <c r="Y46">
        <v>10</v>
      </c>
      <c r="Z46" s="3">
        <v>1</v>
      </c>
      <c r="AA46">
        <v>4</v>
      </c>
      <c r="AB46">
        <v>58</v>
      </c>
      <c r="AC46" s="5">
        <v>6.8965517241379309E-2</v>
      </c>
      <c r="AD46" s="5">
        <v>0.1</v>
      </c>
      <c r="AE46" s="5">
        <v>0.68969999999999998</v>
      </c>
      <c r="AF46" s="3">
        <v>187</v>
      </c>
      <c r="AG46" s="5">
        <v>0.44768133333333332</v>
      </c>
      <c r="AH46" s="5">
        <v>0.4</v>
      </c>
      <c r="AI46" s="5">
        <v>1.1192</v>
      </c>
      <c r="AJ46" s="3">
        <v>74</v>
      </c>
      <c r="AK46">
        <v>9</v>
      </c>
      <c r="AL46">
        <v>12</v>
      </c>
      <c r="AM46" s="5">
        <v>0.75</v>
      </c>
      <c r="AN46" s="5">
        <v>0.8</v>
      </c>
      <c r="AO46" s="5">
        <v>0.9375</v>
      </c>
      <c r="AP46" s="3">
        <v>191</v>
      </c>
    </row>
    <row r="47" spans="1:42">
      <c r="A47" s="4" t="str">
        <f>_xlfn.XLOOKUP(Table1[[#This Row],[SAP]],'Location List'!B:B,'Location List'!G:G)</f>
        <v>DFW NORTH</v>
      </c>
      <c r="B47" s="4" t="str">
        <f>LEFT(Table1[[#This Row],[Sap: Loaction]],4)</f>
        <v>5761</v>
      </c>
      <c r="C47" t="s">
        <v>973</v>
      </c>
      <c r="D47" t="s">
        <v>553</v>
      </c>
      <c r="E47" s="3">
        <v>3</v>
      </c>
      <c r="F47" s="3">
        <v>202</v>
      </c>
      <c r="G47">
        <v>191.35</v>
      </c>
      <c r="H47" t="s">
        <v>454</v>
      </c>
      <c r="I47" s="6">
        <v>11.054600000000001</v>
      </c>
      <c r="J47" s="6">
        <v>29.998914518317505</v>
      </c>
      <c r="K47" s="5">
        <v>0.36849999999999999</v>
      </c>
      <c r="L47" s="3">
        <v>276</v>
      </c>
      <c r="M47">
        <v>11</v>
      </c>
      <c r="N47">
        <v>17.718</v>
      </c>
      <c r="O47" s="5">
        <v>0.62080000000000002</v>
      </c>
      <c r="P47" s="3">
        <v>298</v>
      </c>
      <c r="Q47">
        <v>9</v>
      </c>
      <c r="R47">
        <v>110</v>
      </c>
      <c r="S47" s="5">
        <v>8.1818181818181818E-2</v>
      </c>
      <c r="T47" s="5">
        <v>0.24000640017067124</v>
      </c>
      <c r="U47" s="5">
        <v>0.34089999999999998</v>
      </c>
      <c r="V47" s="3">
        <v>343</v>
      </c>
      <c r="W47" s="5">
        <v>0.94024577796794062</v>
      </c>
      <c r="X47" s="3">
        <v>210</v>
      </c>
      <c r="Y47">
        <v>10</v>
      </c>
      <c r="Z47" s="3">
        <v>1</v>
      </c>
      <c r="AA47">
        <v>1</v>
      </c>
      <c r="AB47">
        <v>17</v>
      </c>
      <c r="AC47" s="5">
        <v>5.8823529411764705E-2</v>
      </c>
      <c r="AD47" s="5">
        <v>0.1</v>
      </c>
      <c r="AE47" s="5">
        <v>0.58819999999999995</v>
      </c>
      <c r="AF47" s="3">
        <v>202</v>
      </c>
      <c r="AG47" s="5">
        <v>0.625</v>
      </c>
      <c r="AH47" s="5">
        <v>0.4</v>
      </c>
      <c r="AI47" s="5">
        <v>1.5625</v>
      </c>
      <c r="AJ47" s="3">
        <v>23</v>
      </c>
      <c r="AK47">
        <v>1</v>
      </c>
      <c r="AL47">
        <v>1</v>
      </c>
      <c r="AM47" s="5">
        <v>1</v>
      </c>
      <c r="AN47" s="5">
        <v>0.8</v>
      </c>
      <c r="AO47" s="5">
        <v>1.25</v>
      </c>
      <c r="AP47" s="3">
        <v>1</v>
      </c>
    </row>
    <row r="48" spans="1:42">
      <c r="A48" s="4" t="str">
        <f>_xlfn.XLOOKUP(Table1[[#This Row],[SAP]],'Location List'!B:B,'Location List'!G:G)</f>
        <v>CENTRAL TEXAS</v>
      </c>
      <c r="B48" s="4" t="str">
        <f>LEFT(Table1[[#This Row],[Sap: Loaction]],4)</f>
        <v>1FSM</v>
      </c>
      <c r="C48" t="s">
        <v>973</v>
      </c>
      <c r="D48" t="s">
        <v>505</v>
      </c>
      <c r="E48" s="3">
        <v>3</v>
      </c>
      <c r="F48" s="3">
        <v>204</v>
      </c>
      <c r="G48">
        <v>192.6</v>
      </c>
      <c r="H48" t="s">
        <v>454</v>
      </c>
      <c r="I48" s="6">
        <v>-27.149000000000001</v>
      </c>
      <c r="J48" s="6">
        <v>34.999355420910149</v>
      </c>
      <c r="K48" s="5">
        <v>-0.77569999999999995</v>
      </c>
      <c r="L48" s="3">
        <v>347</v>
      </c>
      <c r="M48">
        <v>19</v>
      </c>
      <c r="N48">
        <v>54.93</v>
      </c>
      <c r="O48" s="5">
        <v>0.34589999999999999</v>
      </c>
      <c r="P48" s="3">
        <v>338</v>
      </c>
      <c r="Q48">
        <v>30</v>
      </c>
      <c r="R48">
        <v>136</v>
      </c>
      <c r="S48" s="5">
        <v>0.22058823529411764</v>
      </c>
      <c r="T48" s="5">
        <v>0.24000460808847529</v>
      </c>
      <c r="U48" s="5">
        <v>0.91910000000000003</v>
      </c>
      <c r="V48" s="3">
        <v>93</v>
      </c>
      <c r="W48" s="5">
        <v>9.0747504749452215E-2</v>
      </c>
      <c r="X48" s="3">
        <v>348</v>
      </c>
      <c r="Y48">
        <v>8.7777999999999992</v>
      </c>
      <c r="Z48" s="3">
        <v>225</v>
      </c>
      <c r="AA48">
        <v>5</v>
      </c>
      <c r="AB48">
        <v>13</v>
      </c>
      <c r="AC48" s="5">
        <v>0.38461538461538464</v>
      </c>
      <c r="AD48" s="5">
        <v>0.1</v>
      </c>
      <c r="AE48" s="5">
        <v>3.8462000000000001</v>
      </c>
      <c r="AF48" s="3">
        <v>6</v>
      </c>
      <c r="AG48" s="5">
        <v>0.34166666666666662</v>
      </c>
      <c r="AH48" s="5">
        <v>0.4</v>
      </c>
      <c r="AI48" s="5">
        <v>0.85419999999999996</v>
      </c>
      <c r="AJ48" s="3">
        <v>176</v>
      </c>
      <c r="AK48">
        <v>14</v>
      </c>
      <c r="AL48">
        <v>14</v>
      </c>
      <c r="AM48" s="5">
        <v>1</v>
      </c>
      <c r="AN48" s="5">
        <v>0.8</v>
      </c>
      <c r="AO48" s="5">
        <v>1.25</v>
      </c>
      <c r="AP48" s="3">
        <v>1</v>
      </c>
    </row>
    <row r="49" spans="1:42">
      <c r="A49" s="4" t="str">
        <f>_xlfn.XLOOKUP(Table1[[#This Row],[SAP]],'Location List'!B:B,'Location List'!G:G)</f>
        <v>SA SOUTH</v>
      </c>
      <c r="B49" s="4" t="str">
        <f>LEFT(Table1[[#This Row],[Sap: Loaction]],4)</f>
        <v>1ESF</v>
      </c>
      <c r="C49" t="s">
        <v>973</v>
      </c>
      <c r="D49" t="s">
        <v>568</v>
      </c>
      <c r="E49" s="3">
        <v>3</v>
      </c>
      <c r="F49" s="3">
        <v>207</v>
      </c>
      <c r="G49">
        <v>193.95</v>
      </c>
      <c r="H49" t="s">
        <v>454</v>
      </c>
      <c r="I49" s="6">
        <v>4.9398999999999997</v>
      </c>
      <c r="J49" s="6">
        <v>39.999190283400807</v>
      </c>
      <c r="K49" s="5">
        <v>0.1235</v>
      </c>
      <c r="L49" s="3">
        <v>323</v>
      </c>
      <c r="M49">
        <v>63</v>
      </c>
      <c r="N49">
        <v>85.41</v>
      </c>
      <c r="O49" s="5">
        <v>0.73760000000000003</v>
      </c>
      <c r="P49" s="3">
        <v>269</v>
      </c>
      <c r="Q49">
        <v>91</v>
      </c>
      <c r="R49">
        <v>533</v>
      </c>
      <c r="S49" s="5">
        <v>0.17073170731707318</v>
      </c>
      <c r="T49" s="5">
        <v>0.23999396586600108</v>
      </c>
      <c r="U49" s="5">
        <v>0.71140000000000003</v>
      </c>
      <c r="V49" s="3">
        <v>187</v>
      </c>
      <c r="W49" s="5">
        <v>0.98063617713318252</v>
      </c>
      <c r="X49" s="3">
        <v>198</v>
      </c>
      <c r="Y49">
        <v>10</v>
      </c>
      <c r="Z49" s="3">
        <v>1</v>
      </c>
      <c r="AA49">
        <v>7</v>
      </c>
      <c r="AB49">
        <v>57</v>
      </c>
      <c r="AC49" s="5">
        <v>0.12280701754385964</v>
      </c>
      <c r="AD49" s="5">
        <v>0.1</v>
      </c>
      <c r="AE49" s="5">
        <v>1.2281</v>
      </c>
      <c r="AF49" s="3">
        <v>98</v>
      </c>
      <c r="AG49" s="5">
        <v>0.43809499999999996</v>
      </c>
      <c r="AH49" s="5">
        <v>0.4</v>
      </c>
      <c r="AI49" s="5">
        <v>1.0952</v>
      </c>
      <c r="AJ49" s="3">
        <v>85</v>
      </c>
      <c r="AK49">
        <v>7</v>
      </c>
      <c r="AL49">
        <v>29</v>
      </c>
      <c r="AM49" s="5">
        <v>0.2413793103448276</v>
      </c>
      <c r="AN49" s="5">
        <v>0.8</v>
      </c>
      <c r="AO49" s="5">
        <v>0.30170000000000002</v>
      </c>
      <c r="AP49" s="3">
        <v>340</v>
      </c>
    </row>
    <row r="50" spans="1:42">
      <c r="A50" s="4" t="str">
        <f>_xlfn.XLOOKUP(Table1[[#This Row],[SAP]],'Location List'!B:B,'Location List'!G:G)</f>
        <v>CENTRAL TEXAS</v>
      </c>
      <c r="B50" s="4" t="str">
        <f>LEFT(Table1[[#This Row],[Sap: Loaction]],4)</f>
        <v>961F</v>
      </c>
      <c r="C50" t="s">
        <v>973</v>
      </c>
      <c r="D50" t="s">
        <v>547</v>
      </c>
      <c r="E50" s="3">
        <v>4</v>
      </c>
      <c r="F50" s="3">
        <v>217</v>
      </c>
      <c r="G50">
        <v>197.45</v>
      </c>
      <c r="H50" t="s">
        <v>454</v>
      </c>
      <c r="I50" s="6">
        <v>19.948599999999999</v>
      </c>
      <c r="J50" s="6">
        <v>34.997543859649127</v>
      </c>
      <c r="K50" s="5">
        <v>0.56999999999999995</v>
      </c>
      <c r="L50" s="3">
        <v>214</v>
      </c>
      <c r="M50">
        <v>40</v>
      </c>
      <c r="N50">
        <v>33.311</v>
      </c>
      <c r="O50" s="5">
        <v>1.2008000000000001</v>
      </c>
      <c r="P50" s="3">
        <v>112</v>
      </c>
      <c r="Q50">
        <v>45</v>
      </c>
      <c r="R50">
        <v>186</v>
      </c>
      <c r="S50" s="5">
        <v>0.24193548387096775</v>
      </c>
      <c r="T50" s="5">
        <v>0.23999155229735913</v>
      </c>
      <c r="U50" s="5">
        <v>1.0081</v>
      </c>
      <c r="V50" s="3">
        <v>64</v>
      </c>
      <c r="W50" s="5">
        <v>0.42496024447366587</v>
      </c>
      <c r="X50" s="3">
        <v>343</v>
      </c>
      <c r="Y50">
        <v>7.5</v>
      </c>
      <c r="Z50" s="3">
        <v>309</v>
      </c>
      <c r="AA50">
        <v>1</v>
      </c>
      <c r="AB50">
        <v>15</v>
      </c>
      <c r="AC50" s="5">
        <v>6.6666666666666666E-2</v>
      </c>
      <c r="AD50" s="5">
        <v>0.1</v>
      </c>
      <c r="AE50" s="5">
        <v>0.66669999999999996</v>
      </c>
      <c r="AF50" s="3">
        <v>191</v>
      </c>
      <c r="AG50" s="5">
        <v>0.22751299999999999</v>
      </c>
      <c r="AH50" s="5">
        <v>0.4</v>
      </c>
      <c r="AI50" s="5">
        <v>0.56879999999999997</v>
      </c>
      <c r="AJ50" s="3">
        <v>267</v>
      </c>
      <c r="AK50">
        <v>10</v>
      </c>
      <c r="AL50">
        <v>13</v>
      </c>
      <c r="AM50" s="5">
        <v>0.76923076923076927</v>
      </c>
      <c r="AN50" s="5">
        <v>0.8</v>
      </c>
      <c r="AO50" s="5">
        <v>0.96150000000000002</v>
      </c>
      <c r="AP50" s="3">
        <v>184</v>
      </c>
    </row>
    <row r="51" spans="1:42">
      <c r="A51" s="4" t="str">
        <f>_xlfn.XLOOKUP(Table1[[#This Row],[SAP]],'Location List'!B:B,'Location List'!G:G)</f>
        <v>DFW NORTH</v>
      </c>
      <c r="B51" s="4" t="str">
        <f>LEFT(Table1[[#This Row],[Sap: Loaction]],4)</f>
        <v>465D</v>
      </c>
      <c r="C51" t="s">
        <v>973</v>
      </c>
      <c r="D51" t="s">
        <v>551</v>
      </c>
      <c r="E51" s="3">
        <v>4</v>
      </c>
      <c r="F51" s="3">
        <v>222</v>
      </c>
      <c r="G51">
        <v>199.55</v>
      </c>
      <c r="H51" t="s">
        <v>454</v>
      </c>
      <c r="I51" s="6">
        <v>22.697600000000001</v>
      </c>
      <c r="J51" s="6">
        <v>40.002819880155094</v>
      </c>
      <c r="K51" s="5">
        <v>0.56740000000000002</v>
      </c>
      <c r="L51" s="3">
        <v>216</v>
      </c>
      <c r="M51">
        <v>47</v>
      </c>
      <c r="N51">
        <v>54.93</v>
      </c>
      <c r="O51" s="5">
        <v>0.85560000000000003</v>
      </c>
      <c r="P51" s="3">
        <v>232</v>
      </c>
      <c r="Q51">
        <v>59</v>
      </c>
      <c r="R51">
        <v>302</v>
      </c>
      <c r="S51" s="5">
        <v>0.19536423841059603</v>
      </c>
      <c r="T51" s="5">
        <v>0.24000520689262411</v>
      </c>
      <c r="U51" s="5">
        <v>0.81399999999999995</v>
      </c>
      <c r="V51" s="3">
        <v>134</v>
      </c>
      <c r="W51" s="5">
        <v>1.2064625297293556</v>
      </c>
      <c r="X51" s="3">
        <v>116</v>
      </c>
      <c r="Y51">
        <v>8.5714000000000006</v>
      </c>
      <c r="Z51" s="3">
        <v>244</v>
      </c>
      <c r="AA51">
        <v>2</v>
      </c>
      <c r="AB51">
        <v>76</v>
      </c>
      <c r="AC51" s="5">
        <v>2.6315789473684209E-2</v>
      </c>
      <c r="AD51" s="5">
        <v>0.1</v>
      </c>
      <c r="AE51" s="5">
        <v>0.26319999999999999</v>
      </c>
      <c r="AF51" s="3">
        <v>273</v>
      </c>
      <c r="AG51" s="5">
        <v>0.47002900000000003</v>
      </c>
      <c r="AH51" s="5">
        <v>0.4</v>
      </c>
      <c r="AI51" s="5">
        <v>1.1751</v>
      </c>
      <c r="AJ51" s="3">
        <v>65</v>
      </c>
      <c r="AK51">
        <v>6</v>
      </c>
      <c r="AL51">
        <v>12</v>
      </c>
      <c r="AM51" s="5">
        <v>0.5</v>
      </c>
      <c r="AN51" s="5">
        <v>0.8</v>
      </c>
      <c r="AO51" s="5">
        <v>0.625</v>
      </c>
      <c r="AP51" s="3">
        <v>288</v>
      </c>
    </row>
    <row r="52" spans="1:42">
      <c r="A52" s="4" t="str">
        <f>_xlfn.XLOOKUP(Table1[[#This Row],[SAP]],'Location List'!B:B,'Location List'!G:G)</f>
        <v>CENTRAL TEXAS</v>
      </c>
      <c r="B52" s="4" t="str">
        <f>LEFT(Table1[[#This Row],[Sap: Loaction]],4)</f>
        <v>545D</v>
      </c>
      <c r="C52" t="s">
        <v>973</v>
      </c>
      <c r="D52" t="s">
        <v>496</v>
      </c>
      <c r="E52" s="3">
        <v>4</v>
      </c>
      <c r="F52" s="3">
        <v>224</v>
      </c>
      <c r="G52">
        <v>200.1</v>
      </c>
      <c r="H52" t="s">
        <v>454</v>
      </c>
      <c r="I52" s="6">
        <v>18.041799999999999</v>
      </c>
      <c r="J52" s="6">
        <v>34.998642095053349</v>
      </c>
      <c r="K52" s="5">
        <v>0.51549999999999996</v>
      </c>
      <c r="L52" s="3">
        <v>232</v>
      </c>
      <c r="M52">
        <v>22</v>
      </c>
      <c r="N52">
        <v>31.896000000000001</v>
      </c>
      <c r="O52" s="5">
        <v>0.68969999999999998</v>
      </c>
      <c r="P52" s="3">
        <v>281</v>
      </c>
      <c r="Q52">
        <v>35</v>
      </c>
      <c r="R52">
        <v>258</v>
      </c>
      <c r="S52" s="5">
        <v>0.13565891472868216</v>
      </c>
      <c r="T52" s="5">
        <v>0.24001931126801512</v>
      </c>
      <c r="U52" s="5">
        <v>0.56520000000000004</v>
      </c>
      <c r="V52" s="3">
        <v>284</v>
      </c>
      <c r="W52" s="5">
        <v>0.94703967316314352</v>
      </c>
      <c r="X52" s="3">
        <v>207</v>
      </c>
      <c r="Y52">
        <v>9.875</v>
      </c>
      <c r="Z52" s="3">
        <v>77</v>
      </c>
      <c r="AA52">
        <v>4</v>
      </c>
      <c r="AB52">
        <v>26</v>
      </c>
      <c r="AC52" s="5">
        <v>0.15384615384615385</v>
      </c>
      <c r="AD52" s="5">
        <v>0.1</v>
      </c>
      <c r="AE52" s="5">
        <v>1.5385</v>
      </c>
      <c r="AF52" s="3">
        <v>65</v>
      </c>
      <c r="AG52" s="5">
        <v>0.18518500000000002</v>
      </c>
      <c r="AH52" s="5">
        <v>0.4</v>
      </c>
      <c r="AI52" s="5">
        <v>0.46300000000000002</v>
      </c>
      <c r="AJ52" s="3">
        <v>305</v>
      </c>
      <c r="AK52">
        <v>9</v>
      </c>
      <c r="AL52">
        <v>10</v>
      </c>
      <c r="AM52" s="5">
        <v>0.9</v>
      </c>
      <c r="AN52" s="5">
        <v>0.8</v>
      </c>
      <c r="AO52" s="5">
        <v>1.125</v>
      </c>
      <c r="AP52" s="3">
        <v>119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1DSW</v>
      </c>
      <c r="C53" t="s">
        <v>973</v>
      </c>
      <c r="D53" t="s">
        <v>500</v>
      </c>
      <c r="E53" s="3">
        <v>4</v>
      </c>
      <c r="F53" s="3">
        <v>225</v>
      </c>
      <c r="G53">
        <v>200.25</v>
      </c>
      <c r="H53" t="s">
        <v>454</v>
      </c>
      <c r="I53" s="6">
        <v>34.193300000000001</v>
      </c>
      <c r="J53" s="6">
        <v>40.001520823584464</v>
      </c>
      <c r="K53" s="5">
        <v>0.8548</v>
      </c>
      <c r="L53" s="3">
        <v>127</v>
      </c>
      <c r="M53">
        <v>58</v>
      </c>
      <c r="N53">
        <v>57.414000000000001</v>
      </c>
      <c r="O53" s="5">
        <v>1.0102</v>
      </c>
      <c r="P53" s="3">
        <v>173</v>
      </c>
      <c r="Q53">
        <v>55</v>
      </c>
      <c r="R53">
        <v>462</v>
      </c>
      <c r="S53" s="5">
        <v>0.11904761904761904</v>
      </c>
      <c r="T53" s="5">
        <v>0.24001536098310292</v>
      </c>
      <c r="U53" s="5">
        <v>0.496</v>
      </c>
      <c r="V53" s="3">
        <v>313</v>
      </c>
      <c r="W53" s="5">
        <v>1.3236304980390503</v>
      </c>
      <c r="X53" s="3">
        <v>88</v>
      </c>
      <c r="Y53">
        <v>9.1765000000000008</v>
      </c>
      <c r="Z53" s="3">
        <v>170</v>
      </c>
      <c r="AA53">
        <v>2</v>
      </c>
      <c r="AB53">
        <v>34</v>
      </c>
      <c r="AC53" s="5">
        <v>5.8823529411764705E-2</v>
      </c>
      <c r="AD53" s="5">
        <v>0.1</v>
      </c>
      <c r="AE53" s="5">
        <v>0.58819999999999995</v>
      </c>
      <c r="AF53" s="3">
        <v>202</v>
      </c>
      <c r="AG53" s="5">
        <v>0.26666633333333334</v>
      </c>
      <c r="AH53" s="5">
        <v>0.4</v>
      </c>
      <c r="AI53" s="5">
        <v>0.66669999999999996</v>
      </c>
      <c r="AJ53" s="3">
        <v>234</v>
      </c>
      <c r="AK53">
        <v>4</v>
      </c>
      <c r="AL53">
        <v>8</v>
      </c>
      <c r="AM53" s="5">
        <v>0.5</v>
      </c>
      <c r="AN53" s="5">
        <v>0.8</v>
      </c>
      <c r="AO53" s="5">
        <v>0.625</v>
      </c>
      <c r="AP53" s="3">
        <v>288</v>
      </c>
    </row>
    <row r="54" spans="1:42">
      <c r="A54" s="4" t="str">
        <f>_xlfn.XLOOKUP(Table1[[#This Row],[SAP]],'Location List'!B:B,'Location List'!G:G)</f>
        <v>KS/OK</v>
      </c>
      <c r="B54" s="4" t="str">
        <f>LEFT(Table1[[#This Row],[Sap: Loaction]],4)</f>
        <v>5280</v>
      </c>
      <c r="C54" t="s">
        <v>973</v>
      </c>
      <c r="D54" t="s">
        <v>494</v>
      </c>
      <c r="E54" s="3">
        <v>4</v>
      </c>
      <c r="F54" s="3">
        <v>226</v>
      </c>
      <c r="G54">
        <v>200.65</v>
      </c>
      <c r="H54" t="s">
        <v>454</v>
      </c>
      <c r="I54" s="6">
        <v>20.5974</v>
      </c>
      <c r="J54" s="6">
        <v>40.002718974558164</v>
      </c>
      <c r="K54" s="5">
        <v>0.51490000000000002</v>
      </c>
      <c r="L54" s="3">
        <v>233</v>
      </c>
      <c r="M54">
        <v>64</v>
      </c>
      <c r="N54">
        <v>79.382000000000005</v>
      </c>
      <c r="O54" s="5">
        <v>0.80620000000000003</v>
      </c>
      <c r="P54" s="3">
        <v>246</v>
      </c>
      <c r="Q54">
        <v>72</v>
      </c>
      <c r="R54">
        <v>449</v>
      </c>
      <c r="S54" s="5">
        <v>0.16035634743875279</v>
      </c>
      <c r="T54" s="5">
        <v>0.23998256126721459</v>
      </c>
      <c r="U54" s="5">
        <v>0.66820000000000002</v>
      </c>
      <c r="V54" s="3">
        <v>221</v>
      </c>
      <c r="W54" s="5">
        <v>1.0216380467360764</v>
      </c>
      <c r="X54" s="3">
        <v>180</v>
      </c>
      <c r="Y54">
        <v>7.4667000000000003</v>
      </c>
      <c r="Z54" s="3">
        <v>316</v>
      </c>
      <c r="AA54">
        <v>4</v>
      </c>
      <c r="AB54">
        <v>78</v>
      </c>
      <c r="AC54" s="5">
        <v>5.128205128205128E-2</v>
      </c>
      <c r="AD54" s="5">
        <v>0.1</v>
      </c>
      <c r="AE54" s="5">
        <v>0.51280000000000003</v>
      </c>
      <c r="AF54" s="3">
        <v>217</v>
      </c>
      <c r="AG54" s="5">
        <v>0.38507599999999997</v>
      </c>
      <c r="AH54" s="5">
        <v>0.4</v>
      </c>
      <c r="AI54" s="5">
        <v>0.9627</v>
      </c>
      <c r="AJ54" s="3">
        <v>134</v>
      </c>
      <c r="AK54">
        <v>20</v>
      </c>
      <c r="AL54">
        <v>20</v>
      </c>
      <c r="AM54" s="5">
        <v>1</v>
      </c>
      <c r="AN54" s="5">
        <v>0.8</v>
      </c>
      <c r="AO54" s="5">
        <v>1.25</v>
      </c>
      <c r="AP54" s="3">
        <v>1</v>
      </c>
    </row>
    <row r="55" spans="1:42">
      <c r="A55" s="4" t="str">
        <f>_xlfn.XLOOKUP(Table1[[#This Row],[SAP]],'Location List'!B:B,'Location List'!G:G)</f>
        <v>DFW EAST</v>
      </c>
      <c r="B55" s="4" t="str">
        <f>LEFT(Table1[[#This Row],[Sap: Loaction]],4)</f>
        <v>2819</v>
      </c>
      <c r="C55" t="s">
        <v>973</v>
      </c>
      <c r="D55" t="s">
        <v>554</v>
      </c>
      <c r="E55" s="3">
        <v>4</v>
      </c>
      <c r="F55" s="3">
        <v>227</v>
      </c>
      <c r="G55">
        <v>200.8</v>
      </c>
      <c r="H55" t="s">
        <v>454</v>
      </c>
      <c r="I55" s="6">
        <v>16.006799999999998</v>
      </c>
      <c r="J55" s="6">
        <v>39.997001499250374</v>
      </c>
      <c r="K55" s="5">
        <v>0.4002</v>
      </c>
      <c r="L55" s="3">
        <v>269</v>
      </c>
      <c r="M55">
        <v>97</v>
      </c>
      <c r="N55">
        <v>79.736999999999995</v>
      </c>
      <c r="O55" s="5">
        <v>1.2164999999999999</v>
      </c>
      <c r="P55" s="3">
        <v>109</v>
      </c>
      <c r="Q55">
        <v>127</v>
      </c>
      <c r="R55">
        <v>686</v>
      </c>
      <c r="S55" s="5">
        <v>0.18513119533527697</v>
      </c>
      <c r="T55" s="5">
        <v>0.23999377150022944</v>
      </c>
      <c r="U55" s="5">
        <v>0.77139999999999997</v>
      </c>
      <c r="V55" s="3">
        <v>153</v>
      </c>
      <c r="W55" s="5">
        <v>0.80829853362020387</v>
      </c>
      <c r="X55" s="3">
        <v>260</v>
      </c>
      <c r="Y55">
        <v>8.8888999999999996</v>
      </c>
      <c r="Z55" s="3">
        <v>210</v>
      </c>
      <c r="AA55">
        <v>2</v>
      </c>
      <c r="AB55">
        <v>93</v>
      </c>
      <c r="AC55" s="5">
        <v>2.1505376344086023E-2</v>
      </c>
      <c r="AD55" s="5">
        <v>0.1</v>
      </c>
      <c r="AE55" s="5">
        <v>0.21510000000000001</v>
      </c>
      <c r="AF55" s="3">
        <v>287</v>
      </c>
      <c r="AG55" s="5">
        <v>0.59617666666666669</v>
      </c>
      <c r="AH55" s="5">
        <v>0.4</v>
      </c>
      <c r="AI55" s="5">
        <v>1.4903999999999999</v>
      </c>
      <c r="AJ55" s="3">
        <v>27</v>
      </c>
      <c r="AK55">
        <v>16</v>
      </c>
      <c r="AL55">
        <v>30</v>
      </c>
      <c r="AM55" s="5">
        <v>0.53333333333333333</v>
      </c>
      <c r="AN55" s="5">
        <v>0.8</v>
      </c>
      <c r="AO55" s="5">
        <v>0.66669999999999996</v>
      </c>
      <c r="AP55" s="3">
        <v>284</v>
      </c>
    </row>
    <row r="56" spans="1:42">
      <c r="A56" s="4" t="str">
        <f>_xlfn.XLOOKUP(Table1[[#This Row],[SAP]],'Location List'!B:B,'Location List'!G:G)</f>
        <v>DFW EAST</v>
      </c>
      <c r="B56" s="4" t="str">
        <f>LEFT(Table1[[#This Row],[Sap: Loaction]],4)</f>
        <v>5784</v>
      </c>
      <c r="C56" t="s">
        <v>973</v>
      </c>
      <c r="D56" t="s">
        <v>541</v>
      </c>
      <c r="E56" s="3">
        <v>4</v>
      </c>
      <c r="F56" s="3">
        <v>230</v>
      </c>
      <c r="G56">
        <v>202.05</v>
      </c>
      <c r="H56" t="s">
        <v>454</v>
      </c>
      <c r="I56" s="6">
        <v>24.7271</v>
      </c>
      <c r="J56" s="6">
        <v>39.998544160465869</v>
      </c>
      <c r="K56" s="5">
        <v>0.61819999999999997</v>
      </c>
      <c r="L56" s="3">
        <v>191</v>
      </c>
      <c r="M56">
        <v>60</v>
      </c>
      <c r="N56">
        <v>72.295000000000002</v>
      </c>
      <c r="O56" s="5">
        <v>0.82989999999999997</v>
      </c>
      <c r="P56" s="3">
        <v>241</v>
      </c>
      <c r="Q56">
        <v>71</v>
      </c>
      <c r="R56">
        <v>484</v>
      </c>
      <c r="S56" s="5">
        <v>0.14669421487603307</v>
      </c>
      <c r="T56" s="5">
        <v>0.24001016831811695</v>
      </c>
      <c r="U56" s="5">
        <v>0.61119999999999997</v>
      </c>
      <c r="V56" s="3">
        <v>256</v>
      </c>
      <c r="W56" s="5">
        <v>1.2136766569273063</v>
      </c>
      <c r="X56" s="3">
        <v>115</v>
      </c>
      <c r="Y56">
        <v>9.3529</v>
      </c>
      <c r="Z56" s="3">
        <v>143</v>
      </c>
      <c r="AA56">
        <v>7</v>
      </c>
      <c r="AB56">
        <v>86</v>
      </c>
      <c r="AC56" s="5">
        <v>8.1395348837209308E-2</v>
      </c>
      <c r="AD56" s="5">
        <v>0.1</v>
      </c>
      <c r="AE56" s="5">
        <v>0.81399999999999995</v>
      </c>
      <c r="AF56" s="3">
        <v>163</v>
      </c>
      <c r="AG56" s="5">
        <v>0.275862</v>
      </c>
      <c r="AH56" s="5">
        <v>0.4</v>
      </c>
      <c r="AI56" s="5">
        <v>0.68969999999999998</v>
      </c>
      <c r="AJ56" s="3">
        <v>227</v>
      </c>
      <c r="AK56">
        <v>9</v>
      </c>
      <c r="AL56">
        <v>15</v>
      </c>
      <c r="AM56" s="5">
        <v>0.6</v>
      </c>
      <c r="AN56" s="5">
        <v>0.8</v>
      </c>
      <c r="AO56" s="5">
        <v>0.75</v>
      </c>
      <c r="AP56" s="3">
        <v>259</v>
      </c>
    </row>
    <row r="57" spans="1:42">
      <c r="A57" s="4" t="str">
        <f>_xlfn.XLOOKUP(Table1[[#This Row],[SAP]],'Location List'!B:B,'Location List'!G:G)</f>
        <v>SOUTH TX/RGV</v>
      </c>
      <c r="B57" s="4" t="str">
        <f>LEFT(Table1[[#This Row],[Sap: Loaction]],4)</f>
        <v>5DSX</v>
      </c>
      <c r="C57" t="s">
        <v>973</v>
      </c>
      <c r="D57" t="s">
        <v>570</v>
      </c>
      <c r="E57" s="3">
        <v>4</v>
      </c>
      <c r="F57" s="3">
        <v>238</v>
      </c>
      <c r="G57">
        <v>203.3</v>
      </c>
      <c r="H57" t="s">
        <v>454</v>
      </c>
      <c r="I57" s="6">
        <v>22.181000000000001</v>
      </c>
      <c r="J57" s="6">
        <v>40.001803426510371</v>
      </c>
      <c r="K57" s="5">
        <v>0.55449999999999999</v>
      </c>
      <c r="L57" s="3">
        <v>221</v>
      </c>
      <c r="M57">
        <v>62</v>
      </c>
      <c r="N57">
        <v>68.400000000000006</v>
      </c>
      <c r="O57" s="5">
        <v>0.90639999999999998</v>
      </c>
      <c r="P57" s="3">
        <v>210</v>
      </c>
      <c r="Q57">
        <v>83</v>
      </c>
      <c r="R57">
        <v>498</v>
      </c>
      <c r="S57" s="5">
        <v>0.16666666666666666</v>
      </c>
      <c r="T57" s="5">
        <v>0.24001536098310289</v>
      </c>
      <c r="U57" s="5">
        <v>0.69440000000000002</v>
      </c>
      <c r="V57" s="3">
        <v>201</v>
      </c>
      <c r="W57" s="5">
        <v>0.78292706082834584</v>
      </c>
      <c r="X57" s="3">
        <v>274</v>
      </c>
      <c r="Y57">
        <v>10</v>
      </c>
      <c r="Z57" s="3">
        <v>1</v>
      </c>
      <c r="AA57">
        <v>7</v>
      </c>
      <c r="AB57">
        <v>81</v>
      </c>
      <c r="AC57" s="5">
        <v>8.6419753086419748E-2</v>
      </c>
      <c r="AD57" s="5">
        <v>0.1</v>
      </c>
      <c r="AE57" s="5">
        <v>0.86419999999999997</v>
      </c>
      <c r="AF57" s="3">
        <v>154</v>
      </c>
      <c r="AG57" s="5">
        <v>0.24126966666666669</v>
      </c>
      <c r="AH57" s="5">
        <v>0.4</v>
      </c>
      <c r="AI57" s="5">
        <v>0.60319999999999996</v>
      </c>
      <c r="AJ57" s="3">
        <v>254</v>
      </c>
      <c r="AK57">
        <v>3</v>
      </c>
      <c r="AL57">
        <v>9</v>
      </c>
      <c r="AM57" s="5">
        <v>0.33333333333333331</v>
      </c>
      <c r="AN57" s="5">
        <v>0.8</v>
      </c>
      <c r="AO57" s="5">
        <v>0.41670000000000001</v>
      </c>
      <c r="AP57" s="3">
        <v>325</v>
      </c>
    </row>
    <row r="58" spans="1:42">
      <c r="A58" s="4" t="str">
        <f>_xlfn.XLOOKUP(Table1[[#This Row],[SAP]],'Location List'!B:B,'Location List'!G:G)</f>
        <v>SOUTH TX/RGV</v>
      </c>
      <c r="B58" s="4" t="str">
        <f>LEFT(Table1[[#This Row],[Sap: Loaction]],4)</f>
        <v>5332</v>
      </c>
      <c r="C58" t="s">
        <v>973</v>
      </c>
      <c r="D58" t="s">
        <v>563</v>
      </c>
      <c r="E58" s="3">
        <v>4</v>
      </c>
      <c r="F58" s="3">
        <v>243</v>
      </c>
      <c r="G58">
        <v>204.85</v>
      </c>
      <c r="H58" t="s">
        <v>454</v>
      </c>
      <c r="I58" s="6">
        <v>15.350199999999999</v>
      </c>
      <c r="J58" s="6">
        <v>34.998176014591884</v>
      </c>
      <c r="K58" s="5">
        <v>0.43859999999999999</v>
      </c>
      <c r="L58" s="3">
        <v>258</v>
      </c>
      <c r="M58">
        <v>55</v>
      </c>
      <c r="N58">
        <v>57.768000000000001</v>
      </c>
      <c r="O58" s="5">
        <v>0.95209999999999995</v>
      </c>
      <c r="P58" s="3">
        <v>193</v>
      </c>
      <c r="Q58">
        <v>74</v>
      </c>
      <c r="R58">
        <v>375</v>
      </c>
      <c r="S58" s="5">
        <v>0.19733333333333333</v>
      </c>
      <c r="T58" s="5">
        <v>0.24000648666180166</v>
      </c>
      <c r="U58" s="5">
        <v>0.82220000000000004</v>
      </c>
      <c r="V58" s="3">
        <v>129</v>
      </c>
      <c r="W58" s="5">
        <v>0.83078578589677321</v>
      </c>
      <c r="X58" s="3">
        <v>244</v>
      </c>
      <c r="Y58">
        <v>9.0832999999999995</v>
      </c>
      <c r="Z58" s="3">
        <v>186</v>
      </c>
      <c r="AA58">
        <v>4</v>
      </c>
      <c r="AB58">
        <v>67</v>
      </c>
      <c r="AC58" s="5">
        <v>5.9701492537313432E-2</v>
      </c>
      <c r="AD58" s="5">
        <v>0.1</v>
      </c>
      <c r="AE58" s="5">
        <v>0.59699999999999998</v>
      </c>
      <c r="AF58" s="3">
        <v>201</v>
      </c>
      <c r="AG58" s="5">
        <v>0.36519600000000002</v>
      </c>
      <c r="AH58" s="5">
        <v>0.4</v>
      </c>
      <c r="AI58" s="5">
        <v>0.91300000000000003</v>
      </c>
      <c r="AJ58" s="3">
        <v>159</v>
      </c>
      <c r="AK58">
        <v>3</v>
      </c>
      <c r="AL58">
        <v>6</v>
      </c>
      <c r="AM58" s="5">
        <v>0.5</v>
      </c>
      <c r="AN58" s="5">
        <v>0.8</v>
      </c>
      <c r="AO58" s="5">
        <v>0.625</v>
      </c>
      <c r="AP58" s="3">
        <v>288</v>
      </c>
    </row>
    <row r="59" spans="1:42">
      <c r="A59" s="4" t="str">
        <f>_xlfn.XLOOKUP(Table1[[#This Row],[SAP]],'Location List'!B:B,'Location List'!G:G)</f>
        <v>CENTRAL TEXAS</v>
      </c>
      <c r="B59" s="4" t="str">
        <f>LEFT(Table1[[#This Row],[Sap: Loaction]],4)</f>
        <v>1DSF</v>
      </c>
      <c r="C59" t="s">
        <v>973</v>
      </c>
      <c r="D59" t="s">
        <v>546</v>
      </c>
      <c r="E59" s="3">
        <v>4</v>
      </c>
      <c r="F59" s="3">
        <v>244</v>
      </c>
      <c r="G59">
        <v>205.1</v>
      </c>
      <c r="H59" t="s">
        <v>454</v>
      </c>
      <c r="I59" s="6">
        <v>15.9857</v>
      </c>
      <c r="J59" s="6">
        <v>35.002627545434642</v>
      </c>
      <c r="K59" s="5">
        <v>0.45669999999999999</v>
      </c>
      <c r="L59" s="3">
        <v>252</v>
      </c>
      <c r="M59">
        <v>26</v>
      </c>
      <c r="N59">
        <v>33.311</v>
      </c>
      <c r="O59" s="5">
        <v>0.78049999999999997</v>
      </c>
      <c r="P59" s="3">
        <v>257</v>
      </c>
      <c r="Q59">
        <v>42</v>
      </c>
      <c r="R59">
        <v>277</v>
      </c>
      <c r="S59" s="5">
        <v>0.15162454873646208</v>
      </c>
      <c r="T59" s="5">
        <v>0.23998820629386211</v>
      </c>
      <c r="U59" s="5">
        <v>0.63180000000000003</v>
      </c>
      <c r="V59" s="3">
        <v>240</v>
      </c>
      <c r="W59" s="5">
        <v>0.71405839138279181</v>
      </c>
      <c r="X59" s="3">
        <v>296</v>
      </c>
      <c r="Y59">
        <v>5</v>
      </c>
      <c r="Z59" s="3">
        <v>344</v>
      </c>
      <c r="AA59">
        <v>3</v>
      </c>
      <c r="AB59">
        <v>41</v>
      </c>
      <c r="AC59" s="5">
        <v>7.3170731707317069E-2</v>
      </c>
      <c r="AD59" s="5">
        <v>0.1</v>
      </c>
      <c r="AE59" s="5">
        <v>0.73170000000000002</v>
      </c>
      <c r="AF59" s="3">
        <v>177</v>
      </c>
      <c r="AG59" s="5">
        <v>0.64814800000000006</v>
      </c>
      <c r="AH59" s="5">
        <v>0.4</v>
      </c>
      <c r="AI59" s="5">
        <v>1.6204000000000001</v>
      </c>
      <c r="AJ59" s="3">
        <v>21</v>
      </c>
      <c r="AK59">
        <v>6</v>
      </c>
      <c r="AL59">
        <v>6</v>
      </c>
      <c r="AM59" s="5">
        <v>1</v>
      </c>
      <c r="AN59" s="5">
        <v>0.8</v>
      </c>
      <c r="AO59" s="5">
        <v>1.25</v>
      </c>
      <c r="AP59" s="3">
        <v>1</v>
      </c>
    </row>
    <row r="60" spans="1:42">
      <c r="A60" s="4" t="str">
        <f>_xlfn.XLOOKUP(Table1[[#This Row],[SAP]],'Location List'!B:B,'Location List'!G:G)</f>
        <v>MO/IA/NE</v>
      </c>
      <c r="B60" s="4" t="str">
        <f>LEFT(Table1[[#This Row],[Sap: Loaction]],4)</f>
        <v>4BSP</v>
      </c>
      <c r="C60" t="s">
        <v>973</v>
      </c>
      <c r="D60" t="s">
        <v>569</v>
      </c>
      <c r="E60" s="3">
        <v>4</v>
      </c>
      <c r="F60" s="3">
        <v>254</v>
      </c>
      <c r="G60">
        <v>209.45</v>
      </c>
      <c r="H60" t="s">
        <v>454</v>
      </c>
      <c r="I60" s="6">
        <v>15.004200000000001</v>
      </c>
      <c r="J60" s="6">
        <v>30.002399520095985</v>
      </c>
      <c r="K60" s="5">
        <v>0.50009999999999999</v>
      </c>
      <c r="L60" s="3">
        <v>239</v>
      </c>
      <c r="M60">
        <v>21</v>
      </c>
      <c r="N60">
        <v>34.021999999999998</v>
      </c>
      <c r="O60" s="5">
        <v>0.61719999999999997</v>
      </c>
      <c r="P60" s="3">
        <v>299</v>
      </c>
      <c r="Q60">
        <v>32</v>
      </c>
      <c r="R60">
        <v>299</v>
      </c>
      <c r="S60" s="5">
        <v>0.10702341137123746</v>
      </c>
      <c r="T60" s="5">
        <v>0.24001662115101469</v>
      </c>
      <c r="U60" s="5">
        <v>0.44590000000000002</v>
      </c>
      <c r="V60" s="3">
        <v>329</v>
      </c>
      <c r="W60" s="5">
        <v>1.2931039297561777</v>
      </c>
      <c r="X60" s="3">
        <v>96</v>
      </c>
      <c r="Y60">
        <v>7.7272999999999996</v>
      </c>
      <c r="Z60" s="3">
        <v>299</v>
      </c>
      <c r="AA60">
        <v>10</v>
      </c>
      <c r="AB60">
        <v>55</v>
      </c>
      <c r="AC60" s="5">
        <v>0.18181818181818182</v>
      </c>
      <c r="AD60" s="5">
        <v>0.1</v>
      </c>
      <c r="AE60" s="5">
        <v>1.8182</v>
      </c>
      <c r="AF60" s="3">
        <v>46</v>
      </c>
      <c r="AG60" s="5">
        <v>0.148148</v>
      </c>
      <c r="AH60" s="5">
        <v>0.4</v>
      </c>
      <c r="AI60" s="5">
        <v>0.37040000000000001</v>
      </c>
      <c r="AJ60" s="3">
        <v>329</v>
      </c>
      <c r="AK60">
        <v>6</v>
      </c>
      <c r="AL60">
        <v>6</v>
      </c>
      <c r="AM60" s="5">
        <v>1</v>
      </c>
      <c r="AN60" s="5">
        <v>0.8</v>
      </c>
      <c r="AO60" s="5">
        <v>1.25</v>
      </c>
      <c r="AP60" s="3">
        <v>1</v>
      </c>
    </row>
    <row r="61" spans="1:42">
      <c r="A61" s="4" t="str">
        <f>_xlfn.XLOOKUP(Table1[[#This Row],[SAP]],'Location List'!B:B,'Location List'!G:G)</f>
        <v>WEST TEXAS</v>
      </c>
      <c r="B61" s="4" t="str">
        <f>LEFT(Table1[[#This Row],[Sap: Loaction]],4)</f>
        <v>922E</v>
      </c>
      <c r="C61" t="s">
        <v>973</v>
      </c>
      <c r="D61" t="s">
        <v>555</v>
      </c>
      <c r="E61" s="3">
        <v>4</v>
      </c>
      <c r="F61" s="3">
        <v>255</v>
      </c>
      <c r="G61">
        <v>209.6</v>
      </c>
      <c r="H61" t="s">
        <v>454</v>
      </c>
      <c r="I61" s="6">
        <v>38.915500000000002</v>
      </c>
      <c r="J61" s="6">
        <v>39.999486072566555</v>
      </c>
      <c r="K61" s="5">
        <v>0.97289999999999999</v>
      </c>
      <c r="L61" s="3">
        <v>96</v>
      </c>
      <c r="M61">
        <v>57</v>
      </c>
      <c r="N61">
        <v>62.018000000000001</v>
      </c>
      <c r="O61" s="5">
        <v>0.91910000000000003</v>
      </c>
      <c r="P61" s="3">
        <v>207</v>
      </c>
      <c r="Q61">
        <v>73</v>
      </c>
      <c r="R61">
        <v>434</v>
      </c>
      <c r="S61" s="5">
        <v>0.16820276497695852</v>
      </c>
      <c r="T61" s="5">
        <v>0.24001536098310292</v>
      </c>
      <c r="U61" s="5">
        <v>0.70079999999999998</v>
      </c>
      <c r="V61" s="3">
        <v>195</v>
      </c>
      <c r="W61" s="5">
        <v>0.8325441792313194</v>
      </c>
      <c r="X61" s="3">
        <v>243</v>
      </c>
      <c r="Y61">
        <v>7.5</v>
      </c>
      <c r="Z61" s="3">
        <v>309</v>
      </c>
      <c r="AA61">
        <v>2</v>
      </c>
      <c r="AB61">
        <v>58</v>
      </c>
      <c r="AC61" s="5">
        <v>3.4482758620689655E-2</v>
      </c>
      <c r="AD61" s="5">
        <v>0.1</v>
      </c>
      <c r="AE61" s="5">
        <v>0.3448</v>
      </c>
      <c r="AF61" s="3">
        <v>252</v>
      </c>
      <c r="AG61" s="5">
        <v>0.40211599999999997</v>
      </c>
      <c r="AH61" s="5">
        <v>0.4</v>
      </c>
      <c r="AI61" s="5">
        <v>1.0053000000000001</v>
      </c>
      <c r="AJ61" s="3">
        <v>116</v>
      </c>
      <c r="AK61">
        <v>5</v>
      </c>
      <c r="AL61">
        <v>11</v>
      </c>
      <c r="AM61" s="5">
        <v>0.45454545454545453</v>
      </c>
      <c r="AN61" s="5">
        <v>0.8</v>
      </c>
      <c r="AO61" s="5">
        <v>0.56820000000000004</v>
      </c>
      <c r="AP61" s="3">
        <v>303</v>
      </c>
    </row>
    <row r="62" spans="1:42">
      <c r="A62" s="4" t="str">
        <f>_xlfn.XLOOKUP(Table1[[#This Row],[SAP]],'Location List'!B:B,'Location List'!G:G)</f>
        <v>KS/OK</v>
      </c>
      <c r="B62" s="4" t="str">
        <f>LEFT(Table1[[#This Row],[Sap: Loaction]],4)</f>
        <v>4789</v>
      </c>
      <c r="C62" t="s">
        <v>973</v>
      </c>
      <c r="D62" t="s">
        <v>501</v>
      </c>
      <c r="E62" s="3">
        <v>4</v>
      </c>
      <c r="F62" s="3">
        <v>257</v>
      </c>
      <c r="G62">
        <v>210.3</v>
      </c>
      <c r="H62" t="s">
        <v>454</v>
      </c>
      <c r="I62" s="6">
        <v>10.0908</v>
      </c>
      <c r="J62" s="6">
        <v>39.995243757431624</v>
      </c>
      <c r="K62" s="5">
        <v>0.25230000000000002</v>
      </c>
      <c r="L62" s="3">
        <v>308</v>
      </c>
      <c r="M62">
        <v>94</v>
      </c>
      <c r="N62">
        <v>96.04</v>
      </c>
      <c r="O62" s="5">
        <v>0.9788</v>
      </c>
      <c r="P62" s="3">
        <v>179</v>
      </c>
      <c r="Q62">
        <v>91</v>
      </c>
      <c r="R62">
        <v>581</v>
      </c>
      <c r="S62" s="5">
        <v>0.15662650602409639</v>
      </c>
      <c r="T62" s="5">
        <v>0.24000384006144102</v>
      </c>
      <c r="U62" s="5">
        <v>0.65259999999999996</v>
      </c>
      <c r="V62" s="3">
        <v>227</v>
      </c>
      <c r="W62" s="5">
        <v>0.95935003571045574</v>
      </c>
      <c r="X62" s="3">
        <v>204</v>
      </c>
      <c r="Y62">
        <v>8.9230999999999998</v>
      </c>
      <c r="Z62" s="3">
        <v>205</v>
      </c>
      <c r="AA62">
        <v>8</v>
      </c>
      <c r="AB62">
        <v>76</v>
      </c>
      <c r="AC62" s="5">
        <v>0.10526315789473684</v>
      </c>
      <c r="AD62" s="5">
        <v>0.1</v>
      </c>
      <c r="AE62" s="5">
        <v>1.0526</v>
      </c>
      <c r="AF62" s="3">
        <v>122</v>
      </c>
      <c r="AG62" s="5">
        <v>0.39702999999999999</v>
      </c>
      <c r="AH62" s="5">
        <v>0.4</v>
      </c>
      <c r="AI62" s="5">
        <v>0.99260000000000004</v>
      </c>
      <c r="AJ62" s="3">
        <v>121</v>
      </c>
      <c r="AK62">
        <v>6</v>
      </c>
      <c r="AL62">
        <v>16</v>
      </c>
      <c r="AM62" s="5">
        <v>0.375</v>
      </c>
      <c r="AN62" s="5">
        <v>0.8</v>
      </c>
      <c r="AO62" s="5">
        <v>0.46879999999999999</v>
      </c>
      <c r="AP62" s="3">
        <v>319</v>
      </c>
    </row>
    <row r="63" spans="1:42">
      <c r="A63" s="4" t="str">
        <f>_xlfn.XLOOKUP(Table1[[#This Row],[SAP]],'Location List'!B:B,'Location List'!G:G)</f>
        <v>MO/IA/NE</v>
      </c>
      <c r="B63" s="4" t="str">
        <f>LEFT(Table1[[#This Row],[Sap: Loaction]],4)</f>
        <v>3ISY</v>
      </c>
      <c r="C63" t="s">
        <v>973</v>
      </c>
      <c r="D63" t="s">
        <v>527</v>
      </c>
      <c r="E63" s="3">
        <v>4</v>
      </c>
      <c r="F63" s="3">
        <v>259</v>
      </c>
      <c r="G63">
        <v>210.7</v>
      </c>
      <c r="H63" t="s">
        <v>454</v>
      </c>
      <c r="I63" s="6">
        <v>32.244799999999998</v>
      </c>
      <c r="J63" s="6">
        <v>40.000992432700656</v>
      </c>
      <c r="K63" s="5">
        <v>0.80610000000000004</v>
      </c>
      <c r="L63" s="3">
        <v>141</v>
      </c>
      <c r="M63">
        <v>42</v>
      </c>
      <c r="N63">
        <v>38.981999999999999</v>
      </c>
      <c r="O63" s="5">
        <v>1.0773999999999999</v>
      </c>
      <c r="P63" s="3">
        <v>152</v>
      </c>
      <c r="Q63">
        <v>47</v>
      </c>
      <c r="R63">
        <v>417</v>
      </c>
      <c r="S63" s="5">
        <v>0.11270983213429256</v>
      </c>
      <c r="T63" s="5">
        <v>0.24001241936604037</v>
      </c>
      <c r="U63" s="5">
        <v>0.46960000000000002</v>
      </c>
      <c r="V63" s="3">
        <v>322</v>
      </c>
      <c r="W63" s="5">
        <v>0.99798158527245062</v>
      </c>
      <c r="X63" s="3">
        <v>193</v>
      </c>
      <c r="Y63">
        <v>9.5757999999999992</v>
      </c>
      <c r="Z63" s="3">
        <v>118</v>
      </c>
      <c r="AA63">
        <v>4</v>
      </c>
      <c r="AB63">
        <v>102</v>
      </c>
      <c r="AC63" s="5">
        <v>3.9215686274509803E-2</v>
      </c>
      <c r="AD63" s="5">
        <v>0.1</v>
      </c>
      <c r="AE63" s="5">
        <v>0.39219999999999999</v>
      </c>
      <c r="AF63" s="3">
        <v>243</v>
      </c>
      <c r="AG63" s="5">
        <v>0.31212099999999998</v>
      </c>
      <c r="AH63" s="5">
        <v>0.4</v>
      </c>
      <c r="AI63" s="5">
        <v>0.78029999999999999</v>
      </c>
      <c r="AJ63" s="3">
        <v>197</v>
      </c>
      <c r="AK63">
        <v>4</v>
      </c>
      <c r="AL63">
        <v>10</v>
      </c>
      <c r="AM63" s="5">
        <v>0.4</v>
      </c>
      <c r="AN63" s="5">
        <v>0.8</v>
      </c>
      <c r="AO63" s="5">
        <v>0.5</v>
      </c>
      <c r="AP63" s="3">
        <v>312</v>
      </c>
    </row>
    <row r="64" spans="1:42">
      <c r="A64" s="4" t="str">
        <f>_xlfn.XLOOKUP(Table1[[#This Row],[SAP]],'Location List'!B:B,'Location List'!G:G)</f>
        <v>SA SOUTH</v>
      </c>
      <c r="B64" s="4" t="str">
        <f>LEFT(Table1[[#This Row],[Sap: Loaction]],4)</f>
        <v>221D</v>
      </c>
      <c r="C64" t="s">
        <v>973</v>
      </c>
      <c r="D64" t="s">
        <v>521</v>
      </c>
      <c r="E64" s="3">
        <v>4</v>
      </c>
      <c r="F64" s="3">
        <v>267</v>
      </c>
      <c r="G64">
        <v>216.15</v>
      </c>
      <c r="H64" t="s">
        <v>454</v>
      </c>
      <c r="I64" s="6">
        <v>40.713900000000002</v>
      </c>
      <c r="J64" s="6">
        <v>40.001866771467874</v>
      </c>
      <c r="K64" s="5">
        <v>1.0178</v>
      </c>
      <c r="L64" s="3">
        <v>91</v>
      </c>
      <c r="M64">
        <v>47</v>
      </c>
      <c r="N64">
        <v>64.498999999999995</v>
      </c>
      <c r="O64" s="5">
        <v>0.72870000000000001</v>
      </c>
      <c r="P64" s="3">
        <v>272</v>
      </c>
      <c r="Q64">
        <v>73</v>
      </c>
      <c r="R64">
        <v>478</v>
      </c>
      <c r="S64" s="5">
        <v>0.15271966527196654</v>
      </c>
      <c r="T64" s="5">
        <v>0.24001204663203921</v>
      </c>
      <c r="U64" s="5">
        <v>0.63629999999999998</v>
      </c>
      <c r="V64" s="3">
        <v>237</v>
      </c>
      <c r="W64" s="5">
        <v>0.66915855631281651</v>
      </c>
      <c r="X64" s="3">
        <v>304</v>
      </c>
      <c r="Y64">
        <v>7.9</v>
      </c>
      <c r="Z64" s="3">
        <v>293</v>
      </c>
      <c r="AA64">
        <v>3</v>
      </c>
      <c r="AB64">
        <v>64</v>
      </c>
      <c r="AC64" s="5">
        <v>4.6875E-2</v>
      </c>
      <c r="AD64" s="5">
        <v>0.1</v>
      </c>
      <c r="AE64" s="5">
        <v>0.46879999999999999</v>
      </c>
      <c r="AF64" s="3">
        <v>225</v>
      </c>
      <c r="AG64" s="5">
        <v>0.264069</v>
      </c>
      <c r="AH64" s="5">
        <v>0.4</v>
      </c>
      <c r="AI64" s="5">
        <v>0.66020000000000001</v>
      </c>
      <c r="AJ64" s="3">
        <v>235</v>
      </c>
      <c r="AK64">
        <v>25</v>
      </c>
      <c r="AL64">
        <v>26</v>
      </c>
      <c r="AM64" s="5">
        <v>0.96153846153846156</v>
      </c>
      <c r="AN64" s="5">
        <v>0.8</v>
      </c>
      <c r="AO64" s="5">
        <v>1.2019</v>
      </c>
      <c r="AP64" s="3">
        <v>92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1FSS</v>
      </c>
      <c r="C65" t="s">
        <v>973</v>
      </c>
      <c r="D65" t="s">
        <v>540</v>
      </c>
      <c r="E65" s="3">
        <v>4</v>
      </c>
      <c r="F65" s="3">
        <v>268</v>
      </c>
      <c r="G65">
        <v>216.25</v>
      </c>
      <c r="H65" t="s">
        <v>454</v>
      </c>
      <c r="I65" s="6">
        <v>15.3316</v>
      </c>
      <c r="J65" s="6">
        <v>29.997260810017607</v>
      </c>
      <c r="K65" s="5">
        <v>0.5111</v>
      </c>
      <c r="L65" s="3">
        <v>235</v>
      </c>
      <c r="M65">
        <v>17</v>
      </c>
      <c r="N65">
        <v>27.29</v>
      </c>
      <c r="O65" s="5">
        <v>0.62290000000000001</v>
      </c>
      <c r="P65" s="3">
        <v>297</v>
      </c>
      <c r="Q65">
        <v>20</v>
      </c>
      <c r="R65">
        <v>129</v>
      </c>
      <c r="S65" s="5">
        <v>0.15503875968992248</v>
      </c>
      <c r="T65" s="5">
        <v>0.23999808001535985</v>
      </c>
      <c r="U65" s="5">
        <v>0.64600000000000002</v>
      </c>
      <c r="V65" s="3">
        <v>232</v>
      </c>
      <c r="W65" s="5">
        <v>0.74776133579391191</v>
      </c>
      <c r="X65" s="3">
        <v>290</v>
      </c>
      <c r="Y65">
        <v>7.8</v>
      </c>
      <c r="Z65" s="3">
        <v>295</v>
      </c>
      <c r="AA65">
        <v>4</v>
      </c>
      <c r="AB65">
        <v>24</v>
      </c>
      <c r="AC65" s="5">
        <v>0.16666666666666666</v>
      </c>
      <c r="AD65" s="5">
        <v>0.1</v>
      </c>
      <c r="AE65" s="5">
        <v>1.6667000000000001</v>
      </c>
      <c r="AF65" s="3">
        <v>57</v>
      </c>
      <c r="AG65" s="5">
        <v>4.7619000000000002E-2</v>
      </c>
      <c r="AH65" s="5">
        <v>0.4</v>
      </c>
      <c r="AI65" s="5">
        <v>0.11899999999999999</v>
      </c>
      <c r="AJ65" s="3">
        <v>345</v>
      </c>
      <c r="AK65">
        <v>11</v>
      </c>
      <c r="AL65">
        <v>11</v>
      </c>
      <c r="AM65" s="5">
        <v>1</v>
      </c>
      <c r="AN65" s="5">
        <v>0.8</v>
      </c>
      <c r="AO65" s="5">
        <v>1.25</v>
      </c>
      <c r="AP65" s="3">
        <v>1</v>
      </c>
    </row>
    <row r="66" spans="1:42">
      <c r="A66" s="4" t="str">
        <f>_xlfn.XLOOKUP(Table1[[#This Row],[SAP]],'Location List'!B:B,'Location List'!G:G)</f>
        <v>SA/HILL COUNTRY</v>
      </c>
      <c r="B66" s="4" t="str">
        <f>LEFT(Table1[[#This Row],[Sap: Loaction]],4)</f>
        <v>776D</v>
      </c>
      <c r="C66" t="s">
        <v>973</v>
      </c>
      <c r="D66" t="s">
        <v>516</v>
      </c>
      <c r="E66" s="3">
        <v>4</v>
      </c>
      <c r="F66" s="3">
        <v>269</v>
      </c>
      <c r="G66">
        <v>217.6</v>
      </c>
      <c r="H66" t="s">
        <v>454</v>
      </c>
      <c r="I66" s="6">
        <v>19.395800000000001</v>
      </c>
      <c r="J66" s="6">
        <v>34.997834716708773</v>
      </c>
      <c r="K66" s="5">
        <v>0.55420000000000003</v>
      </c>
      <c r="L66" s="3">
        <v>222</v>
      </c>
      <c r="M66">
        <v>43</v>
      </c>
      <c r="N66">
        <v>53.866999999999997</v>
      </c>
      <c r="O66" s="5">
        <v>0.79830000000000001</v>
      </c>
      <c r="P66" s="3">
        <v>254</v>
      </c>
      <c r="Q66">
        <v>60</v>
      </c>
      <c r="R66">
        <v>302</v>
      </c>
      <c r="S66" s="5">
        <v>0.19867549668874171</v>
      </c>
      <c r="T66" s="5">
        <v>0.24000422407434369</v>
      </c>
      <c r="U66" s="5">
        <v>0.82779999999999998</v>
      </c>
      <c r="V66" s="3">
        <v>123</v>
      </c>
      <c r="W66" s="5">
        <v>0.81368290748049377</v>
      </c>
      <c r="X66" s="3">
        <v>257</v>
      </c>
      <c r="Y66">
        <v>7.75</v>
      </c>
      <c r="Z66" s="3">
        <v>297</v>
      </c>
      <c r="AA66">
        <v>9</v>
      </c>
      <c r="AB66">
        <v>57</v>
      </c>
      <c r="AC66" s="5">
        <v>0.15789473684210525</v>
      </c>
      <c r="AD66" s="5">
        <v>0.1</v>
      </c>
      <c r="AE66" s="5">
        <v>1.5789</v>
      </c>
      <c r="AF66" s="3">
        <v>63</v>
      </c>
      <c r="AG66" s="5">
        <v>0.16428566666666666</v>
      </c>
      <c r="AH66" s="5">
        <v>0.4</v>
      </c>
      <c r="AI66" s="5">
        <v>0.41070000000000001</v>
      </c>
      <c r="AJ66" s="3">
        <v>323</v>
      </c>
      <c r="AK66">
        <v>8</v>
      </c>
      <c r="AL66">
        <v>18</v>
      </c>
      <c r="AM66" s="5">
        <v>0.44444444444444442</v>
      </c>
      <c r="AN66" s="5">
        <v>0.8</v>
      </c>
      <c r="AO66" s="5">
        <v>0.55559999999999998</v>
      </c>
      <c r="AP66" s="3">
        <v>306</v>
      </c>
    </row>
    <row r="67" spans="1:42">
      <c r="A67" s="4" t="str">
        <f>_xlfn.XLOOKUP(Table1[[#This Row],[SAP]],'Location List'!B:B,'Location List'!G:G)</f>
        <v>MO/IA/NE</v>
      </c>
      <c r="B67" s="4" t="str">
        <f>LEFT(Table1[[#This Row],[Sap: Loaction]],4)</f>
        <v>4BSM</v>
      </c>
      <c r="C67" t="s">
        <v>973</v>
      </c>
      <c r="D67" t="s">
        <v>529</v>
      </c>
      <c r="E67" s="3">
        <v>4</v>
      </c>
      <c r="F67" s="3">
        <v>271</v>
      </c>
      <c r="G67">
        <v>219.3</v>
      </c>
      <c r="H67" t="s">
        <v>454</v>
      </c>
      <c r="I67" s="6">
        <v>6.5513000000000003</v>
      </c>
      <c r="J67" s="6">
        <v>29.996794871794872</v>
      </c>
      <c r="K67" s="5">
        <v>0.21840000000000001</v>
      </c>
      <c r="L67" s="3">
        <v>316</v>
      </c>
      <c r="M67">
        <v>29</v>
      </c>
      <c r="N67">
        <v>32.249000000000002</v>
      </c>
      <c r="O67" s="5">
        <v>0.89929999999999999</v>
      </c>
      <c r="P67" s="3">
        <v>213</v>
      </c>
      <c r="Q67">
        <v>35</v>
      </c>
      <c r="R67">
        <v>225</v>
      </c>
      <c r="S67" s="5">
        <v>0.15555555555555556</v>
      </c>
      <c r="T67" s="5">
        <v>0.24001782989593512</v>
      </c>
      <c r="U67" s="5">
        <v>0.64810000000000001</v>
      </c>
      <c r="V67" s="3">
        <v>229</v>
      </c>
      <c r="W67" s="5">
        <v>1.4382846603267578</v>
      </c>
      <c r="X67" s="3">
        <v>64</v>
      </c>
      <c r="Y67">
        <v>10</v>
      </c>
      <c r="Z67" s="3">
        <v>1</v>
      </c>
      <c r="AA67">
        <v>2</v>
      </c>
      <c r="AB67">
        <v>40</v>
      </c>
      <c r="AC67" s="5">
        <v>0.05</v>
      </c>
      <c r="AD67" s="5">
        <v>0.1</v>
      </c>
      <c r="AE67" s="5">
        <v>0.5</v>
      </c>
      <c r="AF67" s="3">
        <v>222</v>
      </c>
      <c r="AG67" s="5">
        <v>0.13467999999999999</v>
      </c>
      <c r="AH67" s="5">
        <v>0.4</v>
      </c>
      <c r="AI67" s="5">
        <v>0.3367</v>
      </c>
      <c r="AJ67" s="3">
        <v>333</v>
      </c>
      <c r="AK67">
        <v>2</v>
      </c>
      <c r="AL67">
        <v>6</v>
      </c>
      <c r="AM67" s="5">
        <v>0.33333333333333331</v>
      </c>
      <c r="AN67" s="5">
        <v>0.8</v>
      </c>
      <c r="AO67" s="5">
        <v>0.41670000000000001</v>
      </c>
      <c r="AP67" s="3">
        <v>325</v>
      </c>
    </row>
    <row r="68" spans="1:42">
      <c r="A68" s="4" t="str">
        <f>_xlfn.XLOOKUP(Table1[[#This Row],[SAP]],'Location List'!B:B,'Location List'!G:G)</f>
        <v>SA SOUTH</v>
      </c>
      <c r="B68" s="4" t="str">
        <f>LEFT(Table1[[#This Row],[Sap: Loaction]],4)</f>
        <v>1VSE</v>
      </c>
      <c r="C68" t="s">
        <v>973</v>
      </c>
      <c r="D68" t="s">
        <v>575</v>
      </c>
      <c r="E68" s="3">
        <v>4</v>
      </c>
      <c r="F68" s="3">
        <v>272</v>
      </c>
      <c r="G68">
        <v>219.5</v>
      </c>
      <c r="H68" t="s">
        <v>454</v>
      </c>
      <c r="I68" s="6">
        <v>12.6647</v>
      </c>
      <c r="J68" s="6">
        <v>35.004698728579321</v>
      </c>
      <c r="K68" s="5">
        <v>0.36180000000000001</v>
      </c>
      <c r="L68" s="3">
        <v>278</v>
      </c>
      <c r="M68">
        <v>44</v>
      </c>
      <c r="N68">
        <v>47.134</v>
      </c>
      <c r="O68" s="5">
        <v>0.9335</v>
      </c>
      <c r="P68" s="3">
        <v>199</v>
      </c>
      <c r="Q68">
        <v>49</v>
      </c>
      <c r="R68">
        <v>358</v>
      </c>
      <c r="S68" s="5">
        <v>0.13687150837988826</v>
      </c>
      <c r="T68" s="5">
        <v>0.23999913796227995</v>
      </c>
      <c r="U68" s="5">
        <v>0.57030000000000003</v>
      </c>
      <c r="V68" s="3">
        <v>280</v>
      </c>
      <c r="W68" s="5">
        <v>1.0817434532737158</v>
      </c>
      <c r="X68" s="3">
        <v>154</v>
      </c>
      <c r="Y68">
        <v>9.4544999999999995</v>
      </c>
      <c r="Z68" s="3">
        <v>134</v>
      </c>
      <c r="AA68">
        <v>3</v>
      </c>
      <c r="AB68">
        <v>45</v>
      </c>
      <c r="AC68" s="5">
        <v>6.6666666666666666E-2</v>
      </c>
      <c r="AD68" s="5">
        <v>0.1</v>
      </c>
      <c r="AE68" s="5">
        <v>0.66669999999999996</v>
      </c>
      <c r="AF68" s="3">
        <v>191</v>
      </c>
      <c r="AG68" s="5">
        <v>0.28409066666666666</v>
      </c>
      <c r="AH68" s="5">
        <v>0.4</v>
      </c>
      <c r="AI68" s="5">
        <v>0.71020000000000005</v>
      </c>
      <c r="AJ68" s="3">
        <v>219</v>
      </c>
      <c r="AK68">
        <v>8</v>
      </c>
      <c r="AL68">
        <v>14</v>
      </c>
      <c r="AM68" s="5">
        <v>0.5714285714285714</v>
      </c>
      <c r="AN68" s="5">
        <v>0.8</v>
      </c>
      <c r="AO68" s="5">
        <v>0.71430000000000005</v>
      </c>
      <c r="AP68" s="3">
        <v>266</v>
      </c>
    </row>
    <row r="69" spans="1:42">
      <c r="A69" s="4" t="str">
        <f>_xlfn.XLOOKUP(Table1[[#This Row],[SAP]],'Location List'!B:B,'Location List'!G:G)</f>
        <v>DFW NORTH</v>
      </c>
      <c r="B69" s="4" t="str">
        <f>LEFT(Table1[[#This Row],[Sap: Loaction]],4)</f>
        <v>5429</v>
      </c>
      <c r="C69" t="s">
        <v>973</v>
      </c>
      <c r="D69" t="s">
        <v>576</v>
      </c>
      <c r="E69" s="3">
        <v>4</v>
      </c>
      <c r="F69" s="3">
        <v>274</v>
      </c>
      <c r="G69">
        <v>220.65</v>
      </c>
      <c r="H69" t="s">
        <v>454</v>
      </c>
      <c r="I69" s="6">
        <v>28.916499999999999</v>
      </c>
      <c r="J69" s="6">
        <v>40.000691658597319</v>
      </c>
      <c r="K69" s="5">
        <v>0.72289999999999999</v>
      </c>
      <c r="L69" s="3">
        <v>163</v>
      </c>
      <c r="M69">
        <v>63</v>
      </c>
      <c r="N69">
        <v>81.156999999999996</v>
      </c>
      <c r="O69" s="5">
        <v>0.77629999999999999</v>
      </c>
      <c r="P69" s="3">
        <v>259</v>
      </c>
      <c r="Q69">
        <v>99</v>
      </c>
      <c r="R69">
        <v>586</v>
      </c>
      <c r="S69" s="5">
        <v>0.16894197952218429</v>
      </c>
      <c r="T69" s="5">
        <v>0.24000849484612061</v>
      </c>
      <c r="U69" s="5">
        <v>0.70389999999999997</v>
      </c>
      <c r="V69" s="3">
        <v>193</v>
      </c>
      <c r="W69" s="5">
        <v>1.1893014260345938</v>
      </c>
      <c r="X69" s="3">
        <v>121</v>
      </c>
      <c r="Y69">
        <v>8.6999999999999993</v>
      </c>
      <c r="Z69" s="3">
        <v>233</v>
      </c>
      <c r="AA69">
        <v>1</v>
      </c>
      <c r="AB69">
        <v>52</v>
      </c>
      <c r="AC69" s="5">
        <v>1.9230769230769232E-2</v>
      </c>
      <c r="AD69" s="5">
        <v>0.1</v>
      </c>
      <c r="AE69" s="5">
        <v>0.1923</v>
      </c>
      <c r="AF69" s="3">
        <v>294</v>
      </c>
      <c r="AG69" s="5">
        <v>0.290043</v>
      </c>
      <c r="AH69" s="5">
        <v>0.4</v>
      </c>
      <c r="AI69" s="5">
        <v>0.72509999999999997</v>
      </c>
      <c r="AJ69" s="3">
        <v>216</v>
      </c>
      <c r="AK69">
        <v>5</v>
      </c>
      <c r="AL69">
        <v>9</v>
      </c>
      <c r="AM69" s="5">
        <v>0.55555555555555558</v>
      </c>
      <c r="AN69" s="5">
        <v>0.8</v>
      </c>
      <c r="AO69" s="5">
        <v>0.69440000000000002</v>
      </c>
      <c r="AP69" s="3">
        <v>273</v>
      </c>
    </row>
    <row r="70" spans="1:42">
      <c r="A70" s="4" t="str">
        <f>_xlfn.XLOOKUP(Table1[[#This Row],[SAP]],'Location List'!B:B,'Location List'!G:G)</f>
        <v>CENTRAL TEXAS</v>
      </c>
      <c r="B70" s="4" t="str">
        <f>LEFT(Table1[[#This Row],[Sap: Loaction]],4)</f>
        <v>1DSU</v>
      </c>
      <c r="C70" t="s">
        <v>973</v>
      </c>
      <c r="D70" t="s">
        <v>506</v>
      </c>
      <c r="E70" s="3">
        <v>4</v>
      </c>
      <c r="F70" s="3">
        <v>275</v>
      </c>
      <c r="G70">
        <v>220.8</v>
      </c>
      <c r="H70" t="s">
        <v>454</v>
      </c>
      <c r="I70" s="6">
        <v>15.329800000000001</v>
      </c>
      <c r="J70" s="6">
        <v>40.004697286012529</v>
      </c>
      <c r="K70" s="5">
        <v>0.38319999999999999</v>
      </c>
      <c r="L70" s="3">
        <v>273</v>
      </c>
      <c r="M70">
        <v>23</v>
      </c>
      <c r="N70">
        <v>45.006999999999998</v>
      </c>
      <c r="O70" s="5">
        <v>0.51100000000000001</v>
      </c>
      <c r="P70" s="3">
        <v>316</v>
      </c>
      <c r="Q70">
        <v>51</v>
      </c>
      <c r="R70">
        <v>354</v>
      </c>
      <c r="S70" s="5">
        <v>0.1440677966101695</v>
      </c>
      <c r="T70" s="5">
        <v>0.23999299785135683</v>
      </c>
      <c r="U70" s="5">
        <v>0.60029999999999994</v>
      </c>
      <c r="V70" s="3">
        <v>263</v>
      </c>
      <c r="W70" s="5">
        <v>1.0527748099445244</v>
      </c>
      <c r="X70" s="3">
        <v>172</v>
      </c>
      <c r="Y70">
        <v>10</v>
      </c>
      <c r="Z70" s="3">
        <v>1</v>
      </c>
      <c r="AA70">
        <v>1</v>
      </c>
      <c r="AB70">
        <v>46</v>
      </c>
      <c r="AC70" s="5">
        <v>2.1739130434782608E-2</v>
      </c>
      <c r="AD70" s="5">
        <v>0.1</v>
      </c>
      <c r="AE70" s="5">
        <v>0.21740000000000001</v>
      </c>
      <c r="AF70" s="3">
        <v>286</v>
      </c>
      <c r="AG70" s="5">
        <v>0.33267166666666664</v>
      </c>
      <c r="AH70" s="5">
        <v>0.4</v>
      </c>
      <c r="AI70" s="5">
        <v>0.83169999999999999</v>
      </c>
      <c r="AJ70" s="3">
        <v>185</v>
      </c>
      <c r="AK70">
        <v>12</v>
      </c>
      <c r="AL70">
        <v>14</v>
      </c>
      <c r="AM70" s="5">
        <v>0.8571428571428571</v>
      </c>
      <c r="AN70" s="5">
        <v>0.8</v>
      </c>
      <c r="AO70" s="5">
        <v>1.0713999999999999</v>
      </c>
      <c r="AP70" s="3">
        <v>143</v>
      </c>
    </row>
    <row r="71" spans="1:42">
      <c r="A71" s="4" t="str">
        <f>_xlfn.XLOOKUP(Table1[[#This Row],[SAP]],'Location List'!B:B,'Location List'!G:G)</f>
        <v>DFW NORTH</v>
      </c>
      <c r="B71" s="4" t="str">
        <f>LEFT(Table1[[#This Row],[Sap: Loaction]],4)</f>
        <v>924C</v>
      </c>
      <c r="C71" t="s">
        <v>973</v>
      </c>
      <c r="D71" t="s">
        <v>559</v>
      </c>
      <c r="E71" s="3">
        <v>5</v>
      </c>
      <c r="F71" s="3">
        <v>280</v>
      </c>
      <c r="G71">
        <v>222.4</v>
      </c>
      <c r="H71" t="s">
        <v>454</v>
      </c>
      <c r="I71" s="6">
        <v>33.1145</v>
      </c>
      <c r="J71" s="6">
        <v>39.998188186979107</v>
      </c>
      <c r="K71" s="5">
        <v>0.82789999999999997</v>
      </c>
      <c r="L71" s="3">
        <v>133</v>
      </c>
      <c r="M71">
        <v>18</v>
      </c>
      <c r="N71">
        <v>50.677</v>
      </c>
      <c r="O71" s="5">
        <v>0.35520000000000002</v>
      </c>
      <c r="P71" s="3">
        <v>336</v>
      </c>
      <c r="Q71">
        <v>42</v>
      </c>
      <c r="R71">
        <v>301</v>
      </c>
      <c r="S71" s="5">
        <v>0.13953488372093023</v>
      </c>
      <c r="T71" s="5">
        <v>0.23999808001535985</v>
      </c>
      <c r="U71" s="5">
        <v>0.58140000000000003</v>
      </c>
      <c r="V71" s="3">
        <v>270</v>
      </c>
      <c r="W71" s="5">
        <v>0.84793720986091614</v>
      </c>
      <c r="X71" s="3">
        <v>239</v>
      </c>
      <c r="Y71">
        <v>8.5882000000000005</v>
      </c>
      <c r="Z71" s="3">
        <v>243</v>
      </c>
      <c r="AA71">
        <v>3</v>
      </c>
      <c r="AB71">
        <v>62</v>
      </c>
      <c r="AC71" s="5">
        <v>4.8387096774193547E-2</v>
      </c>
      <c r="AD71" s="5">
        <v>0.1</v>
      </c>
      <c r="AE71" s="5">
        <v>0.4839</v>
      </c>
      <c r="AF71" s="3">
        <v>223</v>
      </c>
      <c r="AG71" s="5">
        <v>0.40833333333333338</v>
      </c>
      <c r="AH71" s="5">
        <v>0.4</v>
      </c>
      <c r="AI71" s="5">
        <v>1.0207999999999999</v>
      </c>
      <c r="AJ71" s="3">
        <v>110</v>
      </c>
      <c r="AK71">
        <v>13</v>
      </c>
      <c r="AL71">
        <v>17</v>
      </c>
      <c r="AM71" s="5">
        <v>0.76470588235294112</v>
      </c>
      <c r="AN71" s="5">
        <v>0.8</v>
      </c>
      <c r="AO71" s="5">
        <v>0.95589999999999997</v>
      </c>
      <c r="AP71" s="3">
        <v>189</v>
      </c>
    </row>
    <row r="72" spans="1:42">
      <c r="A72" s="4" t="str">
        <f>_xlfn.XLOOKUP(Table1[[#This Row],[SAP]],'Location List'!B:B,'Location List'!G:G)</f>
        <v>KS/OK</v>
      </c>
      <c r="B72" s="4" t="str">
        <f>LEFT(Table1[[#This Row],[Sap: Loaction]],4)</f>
        <v>857C</v>
      </c>
      <c r="C72" t="s">
        <v>973</v>
      </c>
      <c r="D72" t="s">
        <v>572</v>
      </c>
      <c r="E72" s="3">
        <v>5</v>
      </c>
      <c r="F72" s="3">
        <v>281</v>
      </c>
      <c r="G72">
        <v>222.8</v>
      </c>
      <c r="H72" t="s">
        <v>454</v>
      </c>
      <c r="I72" s="6">
        <v>12.734500000000001</v>
      </c>
      <c r="J72" s="6">
        <v>39.995288944723619</v>
      </c>
      <c r="K72" s="5">
        <v>0.31840000000000002</v>
      </c>
      <c r="L72" s="3">
        <v>291</v>
      </c>
      <c r="M72">
        <v>52</v>
      </c>
      <c r="N72">
        <v>46.777999999999999</v>
      </c>
      <c r="O72" s="5">
        <v>1.1115999999999999</v>
      </c>
      <c r="P72" s="3">
        <v>142</v>
      </c>
      <c r="Q72">
        <v>56</v>
      </c>
      <c r="R72">
        <v>416</v>
      </c>
      <c r="S72" s="5">
        <v>0.13461538461538461</v>
      </c>
      <c r="T72" s="5">
        <v>0.23999890286215836</v>
      </c>
      <c r="U72" s="5">
        <v>0.56089999999999995</v>
      </c>
      <c r="V72" s="3">
        <v>287</v>
      </c>
      <c r="W72" s="5">
        <v>1.3319986282114287</v>
      </c>
      <c r="X72" s="3">
        <v>86</v>
      </c>
      <c r="Y72">
        <v>8.7826000000000004</v>
      </c>
      <c r="Z72" s="3">
        <v>224</v>
      </c>
      <c r="AA72">
        <v>5</v>
      </c>
      <c r="AB72">
        <v>98</v>
      </c>
      <c r="AC72" s="5">
        <v>5.1020408163265307E-2</v>
      </c>
      <c r="AD72" s="5">
        <v>0.1</v>
      </c>
      <c r="AE72" s="5">
        <v>0.51019999999999999</v>
      </c>
      <c r="AF72" s="3">
        <v>220</v>
      </c>
      <c r="AG72" s="5">
        <v>0.25490166666666664</v>
      </c>
      <c r="AH72" s="5">
        <v>0.4</v>
      </c>
      <c r="AI72" s="5">
        <v>0.63729999999999998</v>
      </c>
      <c r="AJ72" s="3">
        <v>242</v>
      </c>
      <c r="AK72">
        <v>4</v>
      </c>
      <c r="AL72">
        <v>7</v>
      </c>
      <c r="AM72" s="5">
        <v>0.5714285714285714</v>
      </c>
      <c r="AN72" s="5">
        <v>0.8</v>
      </c>
      <c r="AO72" s="5">
        <v>0.71430000000000005</v>
      </c>
      <c r="AP72" s="3">
        <v>266</v>
      </c>
    </row>
    <row r="73" spans="1:42">
      <c r="A73" s="4" t="str">
        <f>_xlfn.XLOOKUP(Table1[[#This Row],[SAP]],'Location List'!B:B,'Location List'!G:G)</f>
        <v>DFW EAST</v>
      </c>
      <c r="B73" s="4" t="str">
        <f>LEFT(Table1[[#This Row],[Sap: Loaction]],4)</f>
        <v>2536</v>
      </c>
      <c r="C73" t="s">
        <v>973</v>
      </c>
      <c r="D73" t="s">
        <v>532</v>
      </c>
      <c r="E73" s="3">
        <v>5</v>
      </c>
      <c r="F73" s="3">
        <v>285</v>
      </c>
      <c r="G73">
        <v>226.1</v>
      </c>
      <c r="H73" t="s">
        <v>454</v>
      </c>
      <c r="I73" s="6">
        <v>9.1036999999999999</v>
      </c>
      <c r="J73" s="6">
        <v>39.998681898066785</v>
      </c>
      <c r="K73" s="5">
        <v>0.2276</v>
      </c>
      <c r="L73" s="3">
        <v>312</v>
      </c>
      <c r="M73">
        <v>127</v>
      </c>
      <c r="N73">
        <v>150.61799999999999</v>
      </c>
      <c r="O73" s="5">
        <v>0.84319999999999995</v>
      </c>
      <c r="P73" s="3">
        <v>236</v>
      </c>
      <c r="Q73">
        <v>133</v>
      </c>
      <c r="R73">
        <v>811</v>
      </c>
      <c r="S73" s="5">
        <v>0.16399506781750925</v>
      </c>
      <c r="T73" s="5">
        <v>0.24000448970804808</v>
      </c>
      <c r="U73" s="5">
        <v>0.68330000000000002</v>
      </c>
      <c r="V73" s="3">
        <v>210</v>
      </c>
      <c r="W73" s="5">
        <v>0.65367497384532003</v>
      </c>
      <c r="X73" s="3">
        <v>309</v>
      </c>
      <c r="Y73">
        <v>7.5</v>
      </c>
      <c r="Z73" s="3">
        <v>309</v>
      </c>
      <c r="AA73">
        <v>10</v>
      </c>
      <c r="AB73">
        <v>76</v>
      </c>
      <c r="AC73" s="5">
        <v>0.13157894736842105</v>
      </c>
      <c r="AD73" s="5">
        <v>0.1</v>
      </c>
      <c r="AE73" s="5">
        <v>1.3158000000000001</v>
      </c>
      <c r="AF73" s="3">
        <v>86</v>
      </c>
      <c r="AG73" s="5">
        <v>0.22010533333333335</v>
      </c>
      <c r="AH73" s="5">
        <v>0.4</v>
      </c>
      <c r="AI73" s="5">
        <v>0.55030000000000001</v>
      </c>
      <c r="AJ73" s="3">
        <v>275</v>
      </c>
      <c r="AK73">
        <v>14</v>
      </c>
      <c r="AL73">
        <v>15</v>
      </c>
      <c r="AM73" s="5">
        <v>0.93333333333333335</v>
      </c>
      <c r="AN73" s="5">
        <v>0.8</v>
      </c>
      <c r="AO73" s="5">
        <v>1.1667000000000001</v>
      </c>
      <c r="AP73" s="3">
        <v>102</v>
      </c>
    </row>
    <row r="74" spans="1:42">
      <c r="A74" s="4" t="str">
        <f>_xlfn.XLOOKUP(Table1[[#This Row],[SAP]],'Location List'!B:B,'Location List'!G:G)</f>
        <v>DFW EAST</v>
      </c>
      <c r="B74" s="4" t="str">
        <f>LEFT(Table1[[#This Row],[Sap: Loaction]],4)</f>
        <v>0115</v>
      </c>
      <c r="C74" t="s">
        <v>973</v>
      </c>
      <c r="D74" t="s">
        <v>530</v>
      </c>
      <c r="E74" s="3">
        <v>5</v>
      </c>
      <c r="F74" s="3">
        <v>286</v>
      </c>
      <c r="G74">
        <v>226.25</v>
      </c>
      <c r="H74" t="s">
        <v>454</v>
      </c>
      <c r="I74" s="6">
        <v>32.064900000000002</v>
      </c>
      <c r="J74" s="6">
        <v>40.001122754491021</v>
      </c>
      <c r="K74" s="5">
        <v>0.80159999999999998</v>
      </c>
      <c r="L74" s="3">
        <v>142</v>
      </c>
      <c r="M74">
        <v>88</v>
      </c>
      <c r="N74">
        <v>90.376000000000005</v>
      </c>
      <c r="O74" s="5">
        <v>0.97370000000000001</v>
      </c>
      <c r="P74" s="3">
        <v>181</v>
      </c>
      <c r="Q74">
        <v>93</v>
      </c>
      <c r="R74">
        <v>540</v>
      </c>
      <c r="S74" s="5">
        <v>0.17222222222222222</v>
      </c>
      <c r="T74" s="5">
        <v>0.23999752260621826</v>
      </c>
      <c r="U74" s="5">
        <v>0.71760000000000002</v>
      </c>
      <c r="V74" s="3">
        <v>184</v>
      </c>
      <c r="W74" s="5">
        <v>0.81006399054937028</v>
      </c>
      <c r="X74" s="3">
        <v>259</v>
      </c>
      <c r="Y74">
        <v>9.0769000000000002</v>
      </c>
      <c r="Z74" s="3">
        <v>187</v>
      </c>
      <c r="AA74">
        <v>1</v>
      </c>
      <c r="AB74">
        <v>73</v>
      </c>
      <c r="AC74" s="5">
        <v>1.3698630136986301E-2</v>
      </c>
      <c r="AD74" s="5">
        <v>0.1</v>
      </c>
      <c r="AE74" s="5">
        <v>0.13700000000000001</v>
      </c>
      <c r="AF74" s="3">
        <v>304</v>
      </c>
      <c r="AG74" s="5">
        <v>0.19658066666666665</v>
      </c>
      <c r="AH74" s="5">
        <v>0.4</v>
      </c>
      <c r="AI74" s="5">
        <v>0.49149999999999999</v>
      </c>
      <c r="AJ74" s="3">
        <v>297</v>
      </c>
      <c r="AK74">
        <v>5</v>
      </c>
      <c r="AL74">
        <v>11</v>
      </c>
      <c r="AM74" s="5">
        <v>0.45454545454545453</v>
      </c>
      <c r="AN74" s="5">
        <v>0.8</v>
      </c>
      <c r="AO74" s="5">
        <v>0.56820000000000004</v>
      </c>
      <c r="AP74" s="3">
        <v>303</v>
      </c>
    </row>
    <row r="75" spans="1:42">
      <c r="A75" s="4" t="str">
        <f>_xlfn.XLOOKUP(Table1[[#This Row],[SAP]],'Location List'!B:B,'Location List'!G:G)</f>
        <v>SOUTH TX/RGV</v>
      </c>
      <c r="B75" s="4" t="str">
        <f>LEFT(Table1[[#This Row],[Sap: Loaction]],4)</f>
        <v>374E</v>
      </c>
      <c r="C75" t="s">
        <v>973</v>
      </c>
      <c r="D75" t="s">
        <v>502</v>
      </c>
      <c r="E75" s="3">
        <v>5</v>
      </c>
      <c r="F75" s="3">
        <v>293</v>
      </c>
      <c r="G75">
        <v>228.7</v>
      </c>
      <c r="H75" t="s">
        <v>454</v>
      </c>
      <c r="I75" s="6">
        <v>4.883</v>
      </c>
      <c r="J75" s="6">
        <v>29.993857493857494</v>
      </c>
      <c r="K75" s="5">
        <v>0.1628</v>
      </c>
      <c r="L75" s="3">
        <v>321</v>
      </c>
      <c r="M75">
        <v>21</v>
      </c>
      <c r="N75">
        <v>31.54</v>
      </c>
      <c r="O75" s="5">
        <v>0.66579999999999995</v>
      </c>
      <c r="P75" s="3">
        <v>288</v>
      </c>
      <c r="Q75">
        <v>25</v>
      </c>
      <c r="R75">
        <v>191</v>
      </c>
      <c r="S75" s="5">
        <v>0.13089005235602094</v>
      </c>
      <c r="T75" s="5">
        <v>0.23998909489552794</v>
      </c>
      <c r="U75" s="5">
        <v>0.5454</v>
      </c>
      <c r="V75" s="3">
        <v>292</v>
      </c>
      <c r="W75" s="5">
        <v>0.69431036581304939</v>
      </c>
      <c r="X75" s="3">
        <v>301</v>
      </c>
      <c r="Y75">
        <v>0</v>
      </c>
      <c r="Z75" s="3">
        <v>348</v>
      </c>
      <c r="AA75">
        <v>5</v>
      </c>
      <c r="AB75">
        <v>30</v>
      </c>
      <c r="AC75" s="5">
        <v>0.16666666666666666</v>
      </c>
      <c r="AD75" s="5">
        <v>0.1</v>
      </c>
      <c r="AE75" s="5">
        <v>1.6667000000000001</v>
      </c>
      <c r="AF75" s="3">
        <v>57</v>
      </c>
      <c r="AG75" s="5">
        <v>0.3095236666666667</v>
      </c>
      <c r="AH75" s="5">
        <v>0.4</v>
      </c>
      <c r="AI75" s="5">
        <v>0.77380000000000004</v>
      </c>
      <c r="AJ75" s="3">
        <v>200</v>
      </c>
      <c r="AK75">
        <v>4</v>
      </c>
      <c r="AL75">
        <v>4</v>
      </c>
      <c r="AM75" s="5">
        <v>1</v>
      </c>
      <c r="AN75" s="5">
        <v>0.8</v>
      </c>
      <c r="AO75" s="5">
        <v>1.25</v>
      </c>
      <c r="AP75" s="3">
        <v>1</v>
      </c>
    </row>
    <row r="76" spans="1:42">
      <c r="A76" s="4" t="str">
        <f>_xlfn.XLOOKUP(Table1[[#This Row],[SAP]],'Location List'!B:B,'Location List'!G:G)</f>
        <v>WEST TEXAS</v>
      </c>
      <c r="B76" s="4" t="str">
        <f>LEFT(Table1[[#This Row],[Sap: Loaction]],4)</f>
        <v>930E</v>
      </c>
      <c r="C76" t="s">
        <v>973</v>
      </c>
      <c r="D76" t="s">
        <v>552</v>
      </c>
      <c r="E76" s="3">
        <v>5</v>
      </c>
      <c r="F76" s="3">
        <v>294</v>
      </c>
      <c r="G76">
        <v>229</v>
      </c>
      <c r="H76" t="s">
        <v>454</v>
      </c>
      <c r="I76" s="6">
        <v>13.763500000000001</v>
      </c>
      <c r="J76" s="6">
        <v>39.998546934030806</v>
      </c>
      <c r="K76" s="5">
        <v>0.34410000000000002</v>
      </c>
      <c r="L76" s="3">
        <v>281</v>
      </c>
      <c r="M76">
        <v>53</v>
      </c>
      <c r="N76">
        <v>65.915000000000006</v>
      </c>
      <c r="O76" s="5">
        <v>0.80410000000000004</v>
      </c>
      <c r="P76" s="3">
        <v>249</v>
      </c>
      <c r="Q76">
        <v>60</v>
      </c>
      <c r="R76">
        <v>340</v>
      </c>
      <c r="S76" s="5">
        <v>0.17647058823529413</v>
      </c>
      <c r="T76" s="5">
        <v>0.23999808001535991</v>
      </c>
      <c r="U76" s="5">
        <v>0.73529999999999995</v>
      </c>
      <c r="V76" s="3">
        <v>173</v>
      </c>
      <c r="W76" s="5">
        <v>0.43224084838983579</v>
      </c>
      <c r="X76" s="3">
        <v>342</v>
      </c>
      <c r="Y76">
        <v>8.8461999999999996</v>
      </c>
      <c r="Z76" s="3">
        <v>216</v>
      </c>
      <c r="AA76">
        <v>7</v>
      </c>
      <c r="AB76">
        <v>58</v>
      </c>
      <c r="AC76" s="5">
        <v>0.1206896551724138</v>
      </c>
      <c r="AD76" s="5">
        <v>0.1</v>
      </c>
      <c r="AE76" s="5">
        <v>1.2069000000000001</v>
      </c>
      <c r="AF76" s="3">
        <v>103</v>
      </c>
      <c r="AG76" s="5">
        <v>0.24848466666666666</v>
      </c>
      <c r="AH76" s="5">
        <v>0.4</v>
      </c>
      <c r="AI76" s="5">
        <v>0.62119999999999997</v>
      </c>
      <c r="AJ76" s="3">
        <v>250</v>
      </c>
      <c r="AK76">
        <v>5</v>
      </c>
      <c r="AL76">
        <v>9</v>
      </c>
      <c r="AM76" s="5">
        <v>0.55555555555555558</v>
      </c>
      <c r="AN76" s="5">
        <v>0.8</v>
      </c>
      <c r="AO76" s="5">
        <v>0.69440000000000002</v>
      </c>
      <c r="AP76" s="3">
        <v>273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875E</v>
      </c>
      <c r="C77" t="s">
        <v>973</v>
      </c>
      <c r="D77" t="s">
        <v>503</v>
      </c>
      <c r="E77" s="3">
        <v>5</v>
      </c>
      <c r="F77" s="3">
        <v>299</v>
      </c>
      <c r="G77">
        <v>231.45</v>
      </c>
      <c r="H77" t="s">
        <v>454</v>
      </c>
      <c r="I77" s="6">
        <v>8.9223999999999997</v>
      </c>
      <c r="J77" s="6">
        <v>35.003530796390741</v>
      </c>
      <c r="K77" s="5">
        <v>0.25490000000000002</v>
      </c>
      <c r="L77" s="3">
        <v>307</v>
      </c>
      <c r="M77">
        <v>60</v>
      </c>
      <c r="N77">
        <v>71.94</v>
      </c>
      <c r="O77" s="5">
        <v>0.83399999999999996</v>
      </c>
      <c r="P77" s="3">
        <v>239</v>
      </c>
      <c r="Q77">
        <v>58</v>
      </c>
      <c r="R77">
        <v>282</v>
      </c>
      <c r="S77" s="5">
        <v>0.20567375886524822</v>
      </c>
      <c r="T77" s="5">
        <v>0.23999271746236667</v>
      </c>
      <c r="U77" s="5">
        <v>0.85699999999999998</v>
      </c>
      <c r="V77" s="3">
        <v>115</v>
      </c>
      <c r="W77" s="5">
        <v>0.83343337526491701</v>
      </c>
      <c r="X77" s="3">
        <v>242</v>
      </c>
      <c r="Y77">
        <v>8.4167000000000005</v>
      </c>
      <c r="Z77" s="3">
        <v>256</v>
      </c>
      <c r="AA77">
        <v>7</v>
      </c>
      <c r="AB77">
        <v>73</v>
      </c>
      <c r="AC77" s="5">
        <v>9.5890410958904104E-2</v>
      </c>
      <c r="AD77" s="5">
        <v>0.1</v>
      </c>
      <c r="AE77" s="5">
        <v>0.95889999999999997</v>
      </c>
      <c r="AF77" s="3">
        <v>140</v>
      </c>
      <c r="AG77" s="5">
        <v>0.18783033333333332</v>
      </c>
      <c r="AH77" s="5">
        <v>0.4</v>
      </c>
      <c r="AI77" s="5">
        <v>0.46960000000000002</v>
      </c>
      <c r="AJ77" s="3">
        <v>303</v>
      </c>
      <c r="AK77">
        <v>4</v>
      </c>
      <c r="AL77">
        <v>10</v>
      </c>
      <c r="AM77" s="5">
        <v>0.4</v>
      </c>
      <c r="AN77" s="5">
        <v>0.8</v>
      </c>
      <c r="AO77" s="5">
        <v>0.5</v>
      </c>
      <c r="AP77" s="3">
        <v>312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1357</v>
      </c>
      <c r="C78" t="s">
        <v>973</v>
      </c>
      <c r="D78" t="s">
        <v>549</v>
      </c>
      <c r="E78" s="3">
        <v>5</v>
      </c>
      <c r="F78" s="3">
        <v>300</v>
      </c>
      <c r="G78">
        <v>231.65</v>
      </c>
      <c r="H78" t="s">
        <v>454</v>
      </c>
      <c r="I78" s="6">
        <v>22.448699999999999</v>
      </c>
      <c r="J78" s="6">
        <v>40.001247327156086</v>
      </c>
      <c r="K78" s="5">
        <v>0.56120000000000003</v>
      </c>
      <c r="L78" s="3">
        <v>219</v>
      </c>
      <c r="M78">
        <v>106</v>
      </c>
      <c r="N78">
        <v>125.456</v>
      </c>
      <c r="O78" s="5">
        <v>0.84489999999999998</v>
      </c>
      <c r="P78" s="3">
        <v>235</v>
      </c>
      <c r="Q78">
        <v>113</v>
      </c>
      <c r="R78">
        <v>755</v>
      </c>
      <c r="S78" s="5">
        <v>0.14966887417218544</v>
      </c>
      <c r="T78" s="5">
        <v>0.24000781618374828</v>
      </c>
      <c r="U78" s="5">
        <v>0.62360000000000004</v>
      </c>
      <c r="V78" s="3">
        <v>245</v>
      </c>
      <c r="W78" s="5">
        <v>0.73247118435331582</v>
      </c>
      <c r="X78" s="3">
        <v>292</v>
      </c>
      <c r="Y78">
        <v>9.9167000000000005</v>
      </c>
      <c r="Z78" s="3">
        <v>67</v>
      </c>
      <c r="AA78">
        <v>2</v>
      </c>
      <c r="AB78">
        <v>125</v>
      </c>
      <c r="AC78" s="5">
        <v>1.6E-2</v>
      </c>
      <c r="AD78" s="5">
        <v>0.1</v>
      </c>
      <c r="AE78" s="5">
        <v>0.16</v>
      </c>
      <c r="AF78" s="3">
        <v>302</v>
      </c>
      <c r="AG78" s="5">
        <v>0.17257233333333333</v>
      </c>
      <c r="AH78" s="5">
        <v>0.4</v>
      </c>
      <c r="AI78" s="5">
        <v>0.43140000000000001</v>
      </c>
      <c r="AJ78" s="3">
        <v>316</v>
      </c>
      <c r="AK78">
        <v>20</v>
      </c>
      <c r="AL78">
        <v>23</v>
      </c>
      <c r="AM78" s="5">
        <v>0.86956521739130432</v>
      </c>
      <c r="AN78" s="5">
        <v>0.8</v>
      </c>
      <c r="AO78" s="5">
        <v>1.087</v>
      </c>
      <c r="AP78" s="3">
        <v>140</v>
      </c>
    </row>
    <row r="79" spans="1:42">
      <c r="A79" s="4" t="str">
        <f>_xlfn.XLOOKUP(Table1[[#This Row],[SAP]],'Location List'!B:B,'Location List'!G:G)</f>
        <v>DFW NORTH</v>
      </c>
      <c r="B79" s="4" t="str">
        <f>LEFT(Table1[[#This Row],[Sap: Loaction]],4)</f>
        <v>1BSA</v>
      </c>
      <c r="C79" t="s">
        <v>973</v>
      </c>
      <c r="D79" t="s">
        <v>580</v>
      </c>
      <c r="E79" s="3">
        <v>5</v>
      </c>
      <c r="F79" s="3">
        <v>303</v>
      </c>
      <c r="G79">
        <v>232.55</v>
      </c>
      <c r="H79" t="s">
        <v>454</v>
      </c>
      <c r="I79" s="6">
        <v>7.2316000000000003</v>
      </c>
      <c r="J79" s="6">
        <v>35.002904162633108</v>
      </c>
      <c r="K79" s="5">
        <v>0.20660000000000001</v>
      </c>
      <c r="L79" s="3">
        <v>318</v>
      </c>
      <c r="M79">
        <v>21</v>
      </c>
      <c r="N79">
        <v>35.442</v>
      </c>
      <c r="O79" s="5">
        <v>0.59250000000000003</v>
      </c>
      <c r="P79" s="3">
        <v>303</v>
      </c>
      <c r="Q79">
        <v>37</v>
      </c>
      <c r="R79">
        <v>288</v>
      </c>
      <c r="S79" s="5">
        <v>0.12847222222222221</v>
      </c>
      <c r="T79" s="5">
        <v>0.24000041513585318</v>
      </c>
      <c r="U79" s="5">
        <v>0.5353</v>
      </c>
      <c r="V79" s="3">
        <v>296</v>
      </c>
      <c r="W79" s="5">
        <v>1.0597203063799088</v>
      </c>
      <c r="X79" s="3">
        <v>166</v>
      </c>
      <c r="Y79">
        <v>10</v>
      </c>
      <c r="Z79" s="3">
        <v>1</v>
      </c>
      <c r="AA79">
        <v>0</v>
      </c>
      <c r="AB79">
        <v>38</v>
      </c>
      <c r="AC79" s="5">
        <v>0</v>
      </c>
      <c r="AD79" s="5">
        <v>0.1</v>
      </c>
      <c r="AE79" s="5">
        <v>0</v>
      </c>
      <c r="AF79" s="3">
        <v>310</v>
      </c>
      <c r="AG79" s="5">
        <v>0.16666633333333333</v>
      </c>
      <c r="AH79" s="5">
        <v>0.4</v>
      </c>
      <c r="AI79" s="5">
        <v>0.41670000000000001</v>
      </c>
      <c r="AJ79" s="3">
        <v>317</v>
      </c>
      <c r="AK79">
        <v>2</v>
      </c>
      <c r="AL79">
        <v>2</v>
      </c>
      <c r="AM79" s="5">
        <v>1</v>
      </c>
      <c r="AN79" s="5">
        <v>0.8</v>
      </c>
      <c r="AO79" s="5">
        <v>1.25</v>
      </c>
      <c r="AP79" s="3">
        <v>1</v>
      </c>
    </row>
    <row r="80" spans="1:42">
      <c r="A80" s="4" t="str">
        <f>_xlfn.XLOOKUP(Table1[[#This Row],[SAP]],'Location List'!B:B,'Location List'!G:G)</f>
        <v>MO/IA/NE</v>
      </c>
      <c r="B80" s="4" t="str">
        <f>LEFT(Table1[[#This Row],[Sap: Loaction]],4)</f>
        <v>4ASN</v>
      </c>
      <c r="C80" t="s">
        <v>973</v>
      </c>
      <c r="D80" t="s">
        <v>544</v>
      </c>
      <c r="E80" s="3">
        <v>5</v>
      </c>
      <c r="F80" s="3">
        <v>306</v>
      </c>
      <c r="G80">
        <v>233.95</v>
      </c>
      <c r="H80" t="s">
        <v>454</v>
      </c>
      <c r="I80" s="6">
        <v>32.359499999999997</v>
      </c>
      <c r="J80" s="6">
        <v>39.999381953028426</v>
      </c>
      <c r="K80" s="5">
        <v>0.80900000000000005</v>
      </c>
      <c r="L80" s="3">
        <v>139</v>
      </c>
      <c r="M80">
        <v>80</v>
      </c>
      <c r="N80">
        <v>106.67100000000001</v>
      </c>
      <c r="O80" s="5">
        <v>0.75</v>
      </c>
      <c r="P80" s="3">
        <v>265</v>
      </c>
      <c r="Q80">
        <v>92</v>
      </c>
      <c r="R80">
        <v>888</v>
      </c>
      <c r="S80" s="5">
        <v>0.1036036036036036</v>
      </c>
      <c r="T80" s="5">
        <v>0.23998981608432618</v>
      </c>
      <c r="U80" s="5">
        <v>0.43169999999999997</v>
      </c>
      <c r="V80" s="3">
        <v>331</v>
      </c>
      <c r="W80" s="5">
        <v>0.51085729940759295</v>
      </c>
      <c r="X80" s="3">
        <v>332</v>
      </c>
      <c r="Y80">
        <v>10</v>
      </c>
      <c r="Z80" s="3">
        <v>1</v>
      </c>
      <c r="AA80">
        <v>3</v>
      </c>
      <c r="AB80">
        <v>94</v>
      </c>
      <c r="AC80" s="5">
        <v>3.1914893617021274E-2</v>
      </c>
      <c r="AD80" s="5">
        <v>0.1</v>
      </c>
      <c r="AE80" s="5">
        <v>0.31909999999999999</v>
      </c>
      <c r="AF80" s="3">
        <v>262</v>
      </c>
      <c r="AG80" s="5">
        <v>0.18389</v>
      </c>
      <c r="AH80" s="5">
        <v>0.4</v>
      </c>
      <c r="AI80" s="5">
        <v>0.4597</v>
      </c>
      <c r="AJ80" s="3">
        <v>307</v>
      </c>
      <c r="AK80">
        <v>19</v>
      </c>
      <c r="AL80">
        <v>26</v>
      </c>
      <c r="AM80" s="5">
        <v>0.73076923076923073</v>
      </c>
      <c r="AN80" s="5">
        <v>0.8</v>
      </c>
      <c r="AO80" s="5">
        <v>0.91349999999999998</v>
      </c>
      <c r="AP80" s="3">
        <v>204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0118</v>
      </c>
      <c r="C81" t="s">
        <v>973</v>
      </c>
      <c r="D81" t="s">
        <v>531</v>
      </c>
      <c r="E81" s="3">
        <v>5</v>
      </c>
      <c r="F81" s="3">
        <v>309</v>
      </c>
      <c r="G81">
        <v>236.25</v>
      </c>
      <c r="H81" t="s">
        <v>454</v>
      </c>
      <c r="I81" s="6">
        <v>8.7466000000000008</v>
      </c>
      <c r="J81" s="6">
        <v>39.993598536808413</v>
      </c>
      <c r="K81" s="5">
        <v>0.21870000000000001</v>
      </c>
      <c r="L81" s="3">
        <v>315</v>
      </c>
      <c r="M81">
        <v>79</v>
      </c>
      <c r="N81">
        <v>77.614000000000004</v>
      </c>
      <c r="O81" s="5">
        <v>1.0179</v>
      </c>
      <c r="P81" s="3">
        <v>168</v>
      </c>
      <c r="Q81">
        <v>92</v>
      </c>
      <c r="R81">
        <v>441</v>
      </c>
      <c r="S81" s="5">
        <v>0.20861678004535147</v>
      </c>
      <c r="T81" s="5">
        <v>0.24001010129469796</v>
      </c>
      <c r="U81" s="5">
        <v>0.86919999999999997</v>
      </c>
      <c r="V81" s="3">
        <v>110</v>
      </c>
      <c r="W81" s="5">
        <v>0.89633201011020169</v>
      </c>
      <c r="X81" s="3">
        <v>226</v>
      </c>
      <c r="Y81">
        <v>8.6</v>
      </c>
      <c r="Z81" s="3">
        <v>242</v>
      </c>
      <c r="AA81">
        <v>0</v>
      </c>
      <c r="AB81">
        <v>83</v>
      </c>
      <c r="AC81" s="5">
        <v>0</v>
      </c>
      <c r="AD81" s="5">
        <v>0.1</v>
      </c>
      <c r="AE81" s="5">
        <v>0</v>
      </c>
      <c r="AF81" s="3">
        <v>310</v>
      </c>
      <c r="AG81" s="5">
        <v>0.132275</v>
      </c>
      <c r="AH81" s="5">
        <v>0.4</v>
      </c>
      <c r="AI81" s="5">
        <v>0.33069999999999999</v>
      </c>
      <c r="AJ81" s="3">
        <v>334</v>
      </c>
      <c r="AK81">
        <v>8</v>
      </c>
      <c r="AL81">
        <v>11</v>
      </c>
      <c r="AM81" s="5">
        <v>0.72727272727272729</v>
      </c>
      <c r="AN81" s="5">
        <v>0.8</v>
      </c>
      <c r="AO81" s="5">
        <v>0.90910000000000002</v>
      </c>
      <c r="AP81" s="3">
        <v>206</v>
      </c>
    </row>
    <row r="82" spans="1:42">
      <c r="A82" s="4" t="str">
        <f>_xlfn.XLOOKUP(Table1[[#This Row],[SAP]],'Location List'!B:B,'Location List'!G:G)</f>
        <v>SA SOUTH</v>
      </c>
      <c r="B82" s="4" t="str">
        <f>LEFT(Table1[[#This Row],[Sap: Loaction]],4)</f>
        <v>5441</v>
      </c>
      <c r="C82" t="s">
        <v>973</v>
      </c>
      <c r="D82" t="s">
        <v>535</v>
      </c>
      <c r="E82" s="3">
        <v>5</v>
      </c>
      <c r="F82" s="3">
        <v>311</v>
      </c>
      <c r="G82">
        <v>239.7</v>
      </c>
      <c r="H82" t="s">
        <v>454</v>
      </c>
      <c r="I82" s="6">
        <v>-0.6411</v>
      </c>
      <c r="J82" s="6">
        <v>40.068750000000001</v>
      </c>
      <c r="K82" s="5">
        <v>-1.6E-2</v>
      </c>
      <c r="L82" s="3">
        <v>332</v>
      </c>
      <c r="M82">
        <v>25</v>
      </c>
      <c r="N82">
        <v>70.168999999999997</v>
      </c>
      <c r="O82" s="5">
        <v>0.35630000000000001</v>
      </c>
      <c r="P82" s="3">
        <v>335</v>
      </c>
      <c r="Q82">
        <v>63</v>
      </c>
      <c r="R82">
        <v>560</v>
      </c>
      <c r="S82" s="5">
        <v>0.1125</v>
      </c>
      <c r="T82" s="5">
        <v>0.23997440273037543</v>
      </c>
      <c r="U82" s="5">
        <v>0.46879999999999999</v>
      </c>
      <c r="V82" s="3">
        <v>324</v>
      </c>
      <c r="W82" s="5">
        <v>0.71348546639584642</v>
      </c>
      <c r="X82" s="3">
        <v>297</v>
      </c>
      <c r="Y82">
        <v>9.6667000000000005</v>
      </c>
      <c r="Z82" s="3">
        <v>103</v>
      </c>
      <c r="AA82">
        <v>11</v>
      </c>
      <c r="AB82">
        <v>61</v>
      </c>
      <c r="AC82" s="5">
        <v>0.18032786885245902</v>
      </c>
      <c r="AD82" s="5">
        <v>0.1</v>
      </c>
      <c r="AE82" s="5">
        <v>1.8032999999999999</v>
      </c>
      <c r="AF82" s="3">
        <v>47</v>
      </c>
      <c r="AG82" s="5">
        <v>0.32820500000000002</v>
      </c>
      <c r="AH82" s="5">
        <v>0.4</v>
      </c>
      <c r="AI82" s="5">
        <v>0.82050000000000001</v>
      </c>
      <c r="AJ82" s="3">
        <v>186</v>
      </c>
      <c r="AK82">
        <v>5</v>
      </c>
      <c r="AL82">
        <v>8</v>
      </c>
      <c r="AM82" s="5">
        <v>0.625</v>
      </c>
      <c r="AN82" s="5">
        <v>0.8</v>
      </c>
      <c r="AO82" s="5">
        <v>0.78129999999999999</v>
      </c>
      <c r="AP82" s="3">
        <v>254</v>
      </c>
    </row>
    <row r="83" spans="1:42">
      <c r="A83" s="4" t="str">
        <f>_xlfn.XLOOKUP(Table1[[#This Row],[SAP]],'Location List'!B:B,'Location List'!G:G)</f>
        <v>MO/IA/NE</v>
      </c>
      <c r="B83" s="4" t="str">
        <f>LEFT(Table1[[#This Row],[Sap: Loaction]],4)</f>
        <v>4BSI</v>
      </c>
      <c r="C83" t="s">
        <v>973</v>
      </c>
      <c r="D83" t="s">
        <v>581</v>
      </c>
      <c r="E83" s="3">
        <v>5</v>
      </c>
      <c r="F83" s="3">
        <v>312</v>
      </c>
      <c r="G83">
        <v>239.9</v>
      </c>
      <c r="H83" t="s">
        <v>454</v>
      </c>
      <c r="I83" s="6">
        <v>14.909000000000001</v>
      </c>
      <c r="J83" s="6">
        <v>29.997987927565394</v>
      </c>
      <c r="K83" s="5">
        <v>0.497</v>
      </c>
      <c r="L83" s="3">
        <v>241</v>
      </c>
      <c r="M83">
        <v>21</v>
      </c>
      <c r="N83">
        <v>19.137</v>
      </c>
      <c r="O83" s="5">
        <v>1.0973999999999999</v>
      </c>
      <c r="P83" s="3">
        <v>145</v>
      </c>
      <c r="Q83">
        <v>34</v>
      </c>
      <c r="R83">
        <v>231</v>
      </c>
      <c r="S83" s="5">
        <v>0.1471861471861472</v>
      </c>
      <c r="T83" s="5">
        <v>0.23999045685006881</v>
      </c>
      <c r="U83" s="5">
        <v>0.61329999999999996</v>
      </c>
      <c r="V83" s="3">
        <v>254</v>
      </c>
      <c r="W83" s="5">
        <v>0.4574584684108034</v>
      </c>
      <c r="X83" s="3">
        <v>338</v>
      </c>
      <c r="Y83">
        <v>7</v>
      </c>
      <c r="Z83" s="3">
        <v>327</v>
      </c>
      <c r="AA83">
        <v>0</v>
      </c>
      <c r="AB83">
        <v>44</v>
      </c>
      <c r="AC83" s="5">
        <v>0</v>
      </c>
      <c r="AD83" s="5">
        <v>0.1</v>
      </c>
      <c r="AE83" s="5">
        <v>0</v>
      </c>
      <c r="AF83" s="3">
        <v>310</v>
      </c>
      <c r="AG83" s="5">
        <v>0.44444433333333339</v>
      </c>
      <c r="AH83" s="5">
        <v>0.4</v>
      </c>
      <c r="AI83" s="5">
        <v>1.1111</v>
      </c>
      <c r="AJ83" s="3">
        <v>79</v>
      </c>
      <c r="AK83">
        <v>6</v>
      </c>
      <c r="AL83">
        <v>9</v>
      </c>
      <c r="AM83" s="5">
        <v>0.66666666666666663</v>
      </c>
      <c r="AN83" s="5">
        <v>0.8</v>
      </c>
      <c r="AO83" s="5">
        <v>0.83330000000000004</v>
      </c>
      <c r="AP83" s="3">
        <v>230</v>
      </c>
    </row>
    <row r="84" spans="1:42">
      <c r="A84" s="4" t="str">
        <f>_xlfn.XLOOKUP(Table1[[#This Row],[SAP]],'Location List'!B:B,'Location List'!G:G)</f>
        <v>DFW EAST</v>
      </c>
      <c r="B84" s="4" t="str">
        <f>LEFT(Table1[[#This Row],[Sap: Loaction]],4)</f>
        <v>6ESH</v>
      </c>
      <c r="C84" t="s">
        <v>973</v>
      </c>
      <c r="D84" t="s">
        <v>548</v>
      </c>
      <c r="E84" s="3">
        <v>5</v>
      </c>
      <c r="F84" s="3">
        <v>316</v>
      </c>
      <c r="G84">
        <v>242.8</v>
      </c>
      <c r="H84" t="s">
        <v>454</v>
      </c>
      <c r="I84" s="6">
        <v>21.308700000000002</v>
      </c>
      <c r="J84" s="6">
        <v>40.001314060446788</v>
      </c>
      <c r="K84" s="5">
        <v>0.53269999999999995</v>
      </c>
      <c r="L84" s="3">
        <v>228</v>
      </c>
      <c r="M84">
        <v>61</v>
      </c>
      <c r="N84">
        <v>85.055999999999997</v>
      </c>
      <c r="O84" s="5">
        <v>0.71719999999999995</v>
      </c>
      <c r="P84" s="3">
        <v>274</v>
      </c>
      <c r="Q84">
        <v>75</v>
      </c>
      <c r="R84">
        <v>526</v>
      </c>
      <c r="S84" s="5">
        <v>0.14258555133079848</v>
      </c>
      <c r="T84" s="5">
        <v>0.24000261122841018</v>
      </c>
      <c r="U84" s="5">
        <v>0.59409999999999996</v>
      </c>
      <c r="V84" s="3">
        <v>267</v>
      </c>
      <c r="W84" s="5">
        <v>0.66143177170041401</v>
      </c>
      <c r="X84" s="3">
        <v>306</v>
      </c>
      <c r="Y84">
        <v>7.9375</v>
      </c>
      <c r="Z84" s="3">
        <v>290</v>
      </c>
      <c r="AA84">
        <v>3</v>
      </c>
      <c r="AB84">
        <v>128</v>
      </c>
      <c r="AC84" s="5">
        <v>2.34375E-2</v>
      </c>
      <c r="AD84" s="5">
        <v>0.1</v>
      </c>
      <c r="AE84" s="5">
        <v>0.2344</v>
      </c>
      <c r="AF84" s="3">
        <v>281</v>
      </c>
      <c r="AG84" s="5">
        <v>0.23995566666666668</v>
      </c>
      <c r="AH84" s="5">
        <v>0.4</v>
      </c>
      <c r="AI84" s="5">
        <v>0.59989999999999999</v>
      </c>
      <c r="AJ84" s="3">
        <v>256</v>
      </c>
      <c r="AK84">
        <v>19</v>
      </c>
      <c r="AL84">
        <v>19</v>
      </c>
      <c r="AM84" s="5">
        <v>1</v>
      </c>
      <c r="AN84" s="5">
        <v>0.8</v>
      </c>
      <c r="AO84" s="5">
        <v>1.25</v>
      </c>
      <c r="AP84" s="3">
        <v>1</v>
      </c>
    </row>
    <row r="85" spans="1:42">
      <c r="A85" s="4" t="str">
        <f>_xlfn.XLOOKUP(Table1[[#This Row],[SAP]],'Location List'!B:B,'Location List'!G:G)</f>
        <v>WEST TEXAS</v>
      </c>
      <c r="B85" s="4" t="str">
        <f>LEFT(Table1[[#This Row],[Sap: Loaction]],4)</f>
        <v>903E</v>
      </c>
      <c r="C85" t="s">
        <v>973</v>
      </c>
      <c r="D85" t="s">
        <v>514</v>
      </c>
      <c r="E85" s="3">
        <v>5</v>
      </c>
      <c r="F85" s="3">
        <v>324</v>
      </c>
      <c r="G85">
        <v>252.9</v>
      </c>
      <c r="H85" t="s">
        <v>454</v>
      </c>
      <c r="I85" s="6">
        <v>6.5303000000000004</v>
      </c>
      <c r="J85" s="6">
        <v>29.9967845659164</v>
      </c>
      <c r="K85" s="5">
        <v>0.2177</v>
      </c>
      <c r="L85" s="3">
        <v>317</v>
      </c>
      <c r="M85">
        <v>18</v>
      </c>
      <c r="N85">
        <v>27.998999999999999</v>
      </c>
      <c r="O85" s="5">
        <v>0.64290000000000003</v>
      </c>
      <c r="P85" s="3">
        <v>294</v>
      </c>
      <c r="Q85">
        <v>20</v>
      </c>
      <c r="R85">
        <v>179</v>
      </c>
      <c r="S85" s="5">
        <v>0.11173184357541899</v>
      </c>
      <c r="T85" s="5">
        <v>0.24002544269692586</v>
      </c>
      <c r="U85" s="5">
        <v>0.46550000000000002</v>
      </c>
      <c r="V85" s="3">
        <v>326</v>
      </c>
      <c r="W85" s="5">
        <v>0.98789432136067545</v>
      </c>
      <c r="X85" s="3">
        <v>195</v>
      </c>
      <c r="Y85">
        <v>10</v>
      </c>
      <c r="Z85" s="3">
        <v>1</v>
      </c>
      <c r="AA85">
        <v>1</v>
      </c>
      <c r="AB85">
        <v>31</v>
      </c>
      <c r="AC85" s="5">
        <v>3.2258064516129031E-2</v>
      </c>
      <c r="AD85" s="5">
        <v>0.1</v>
      </c>
      <c r="AE85" s="5">
        <v>0.3226</v>
      </c>
      <c r="AF85" s="3">
        <v>259</v>
      </c>
      <c r="AG85" s="5">
        <v>0.30555533333333335</v>
      </c>
      <c r="AH85" s="5">
        <v>0.4</v>
      </c>
      <c r="AI85" s="5">
        <v>0.76390000000000002</v>
      </c>
      <c r="AJ85" s="3">
        <v>202</v>
      </c>
      <c r="AK85">
        <v>2</v>
      </c>
      <c r="AL85">
        <v>8</v>
      </c>
      <c r="AM85" s="5">
        <v>0.25</v>
      </c>
      <c r="AN85" s="5">
        <v>0.8</v>
      </c>
      <c r="AO85" s="5">
        <v>0.3125</v>
      </c>
      <c r="AP85" s="3">
        <v>337</v>
      </c>
    </row>
    <row r="86" spans="1:42">
      <c r="A86" s="4" t="str">
        <f>_xlfn.XLOOKUP(Table1[[#This Row],[SAP]],'Location List'!B:B,'Location List'!G:G)</f>
        <v>SOUTH TX/RGV</v>
      </c>
      <c r="B86" s="4" t="str">
        <f>LEFT(Table1[[#This Row],[Sap: Loaction]],4)</f>
        <v>598D</v>
      </c>
      <c r="C86" t="s">
        <v>973</v>
      </c>
      <c r="D86" t="s">
        <v>574</v>
      </c>
      <c r="E86" s="3">
        <v>5</v>
      </c>
      <c r="F86" s="3">
        <v>326</v>
      </c>
      <c r="G86">
        <v>257.2</v>
      </c>
      <c r="H86" t="s">
        <v>454</v>
      </c>
      <c r="I86" s="6">
        <v>-3.0070000000000001</v>
      </c>
      <c r="J86" s="6">
        <v>39.986702127659576</v>
      </c>
      <c r="K86" s="5">
        <v>-7.5200000000000003E-2</v>
      </c>
      <c r="L86" s="3">
        <v>333</v>
      </c>
      <c r="M86">
        <v>21</v>
      </c>
      <c r="N86">
        <v>60.957000000000001</v>
      </c>
      <c r="O86" s="5">
        <v>0.34449999999999997</v>
      </c>
      <c r="P86" s="3">
        <v>339</v>
      </c>
      <c r="Q86">
        <v>48</v>
      </c>
      <c r="R86">
        <v>396</v>
      </c>
      <c r="S86" s="5">
        <v>0.12121212121212122</v>
      </c>
      <c r="T86" s="5">
        <v>0.23997648230473415</v>
      </c>
      <c r="U86" s="5">
        <v>0.50509999999999999</v>
      </c>
      <c r="V86" s="3">
        <v>308</v>
      </c>
      <c r="W86" s="5">
        <v>0.44775517761388073</v>
      </c>
      <c r="X86" s="3">
        <v>339</v>
      </c>
      <c r="Y86">
        <v>10</v>
      </c>
      <c r="Z86" s="3">
        <v>1</v>
      </c>
      <c r="AA86">
        <v>0</v>
      </c>
      <c r="AB86">
        <v>59</v>
      </c>
      <c r="AC86" s="5">
        <v>0</v>
      </c>
      <c r="AD86" s="5">
        <v>0.1</v>
      </c>
      <c r="AE86" s="5">
        <v>0</v>
      </c>
      <c r="AF86" s="3">
        <v>310</v>
      </c>
      <c r="AG86" s="5">
        <v>0.57777733333333336</v>
      </c>
      <c r="AH86" s="5">
        <v>0.4</v>
      </c>
      <c r="AI86" s="5">
        <v>1.4443999999999999</v>
      </c>
      <c r="AJ86" s="3">
        <v>31</v>
      </c>
      <c r="AK86">
        <v>4</v>
      </c>
      <c r="AL86">
        <v>7</v>
      </c>
      <c r="AM86" s="5">
        <v>0.5714285714285714</v>
      </c>
      <c r="AN86" s="5">
        <v>0.8</v>
      </c>
      <c r="AO86" s="5">
        <v>0.71430000000000005</v>
      </c>
      <c r="AP86" s="3">
        <v>266</v>
      </c>
    </row>
    <row r="87" spans="1:42">
      <c r="A87" s="4" t="str">
        <f>_xlfn.XLOOKUP(Table1[[#This Row],[SAP]],'Location List'!B:B,'Location List'!G:G)</f>
        <v>CENTRAL TEXAS</v>
      </c>
      <c r="B87" s="4" t="str">
        <f>LEFT(Table1[[#This Row],[Sap: Loaction]],4)</f>
        <v>1DST</v>
      </c>
      <c r="C87" t="s">
        <v>973</v>
      </c>
      <c r="D87" t="s">
        <v>539</v>
      </c>
      <c r="E87" s="3">
        <v>5</v>
      </c>
      <c r="F87" s="3">
        <v>329</v>
      </c>
      <c r="G87">
        <v>260.60000000000002</v>
      </c>
      <c r="H87" t="s">
        <v>454</v>
      </c>
      <c r="I87" s="6">
        <v>-11.950200000000001</v>
      </c>
      <c r="J87" s="6">
        <v>39.993975903614455</v>
      </c>
      <c r="K87" s="5">
        <v>-0.29880000000000001</v>
      </c>
      <c r="L87" s="3">
        <v>343</v>
      </c>
      <c r="M87">
        <v>25</v>
      </c>
      <c r="N87">
        <v>46.069000000000003</v>
      </c>
      <c r="O87" s="5">
        <v>0.54269999999999996</v>
      </c>
      <c r="P87" s="3">
        <v>313</v>
      </c>
      <c r="Q87">
        <v>49</v>
      </c>
      <c r="R87">
        <v>431</v>
      </c>
      <c r="S87" s="5">
        <v>0.1136890951276102</v>
      </c>
      <c r="T87" s="5">
        <v>0.240002311859004</v>
      </c>
      <c r="U87" s="5">
        <v>0.47370000000000001</v>
      </c>
      <c r="V87" s="3">
        <v>321</v>
      </c>
      <c r="W87" s="5">
        <v>0.64223627168576025</v>
      </c>
      <c r="X87" s="3">
        <v>310</v>
      </c>
      <c r="Y87">
        <v>8.1818000000000008</v>
      </c>
      <c r="Z87" s="3">
        <v>281</v>
      </c>
      <c r="AA87">
        <v>2</v>
      </c>
      <c r="AB87">
        <v>39</v>
      </c>
      <c r="AC87" s="5">
        <v>5.128205128205128E-2</v>
      </c>
      <c r="AD87" s="5">
        <v>0.1</v>
      </c>
      <c r="AE87" s="5">
        <v>0.51280000000000003</v>
      </c>
      <c r="AF87" s="3">
        <v>217</v>
      </c>
      <c r="AG87" s="5">
        <v>0.27777766666666664</v>
      </c>
      <c r="AH87" s="5">
        <v>0.4</v>
      </c>
      <c r="AI87" s="5">
        <v>0.69440000000000002</v>
      </c>
      <c r="AJ87" s="3">
        <v>223</v>
      </c>
      <c r="AK87">
        <v>4</v>
      </c>
      <c r="AL87">
        <v>4</v>
      </c>
      <c r="AM87" s="5">
        <v>1</v>
      </c>
      <c r="AN87" s="5">
        <v>0.8</v>
      </c>
      <c r="AO87" s="5">
        <v>1.25</v>
      </c>
      <c r="AP87" s="3">
        <v>1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4BSR</v>
      </c>
      <c r="C88" t="s">
        <v>973</v>
      </c>
      <c r="D88" t="s">
        <v>558</v>
      </c>
      <c r="E88" s="3">
        <v>5</v>
      </c>
      <c r="F88" s="3">
        <v>335</v>
      </c>
      <c r="G88">
        <v>270.2</v>
      </c>
      <c r="H88" t="s">
        <v>454</v>
      </c>
      <c r="I88" s="6">
        <v>17.2973</v>
      </c>
      <c r="J88" s="6">
        <v>35.00060704168353</v>
      </c>
      <c r="K88" s="5">
        <v>0.49419999999999997</v>
      </c>
      <c r="L88" s="3">
        <v>243</v>
      </c>
      <c r="M88">
        <v>25</v>
      </c>
      <c r="N88">
        <v>35.793999999999997</v>
      </c>
      <c r="O88" s="5">
        <v>0.69840000000000002</v>
      </c>
      <c r="P88" s="3">
        <v>278</v>
      </c>
      <c r="Q88">
        <v>29</v>
      </c>
      <c r="R88">
        <v>379</v>
      </c>
      <c r="S88" s="5">
        <v>7.6517150395778361E-2</v>
      </c>
      <c r="T88" s="5">
        <v>0.24001615557019562</v>
      </c>
      <c r="U88" s="5">
        <v>0.31879999999999997</v>
      </c>
      <c r="V88" s="3">
        <v>346</v>
      </c>
      <c r="W88" s="5">
        <v>0.89904379042262172</v>
      </c>
      <c r="X88" s="3">
        <v>225</v>
      </c>
      <c r="Y88">
        <v>8</v>
      </c>
      <c r="Z88" s="3">
        <v>284</v>
      </c>
      <c r="AA88">
        <v>1</v>
      </c>
      <c r="AB88">
        <v>56</v>
      </c>
      <c r="AC88" s="5">
        <v>1.7857142857142856E-2</v>
      </c>
      <c r="AD88" s="5">
        <v>0.1</v>
      </c>
      <c r="AE88" s="5">
        <v>0.17860000000000001</v>
      </c>
      <c r="AF88" s="3">
        <v>295</v>
      </c>
      <c r="AG88" s="5">
        <v>0.222222</v>
      </c>
      <c r="AH88" s="5">
        <v>0.4</v>
      </c>
      <c r="AI88" s="5">
        <v>0.55559999999999998</v>
      </c>
      <c r="AJ88" s="3">
        <v>270</v>
      </c>
      <c r="AK88">
        <v>7</v>
      </c>
      <c r="AL88">
        <v>9</v>
      </c>
      <c r="AM88" s="5">
        <v>0.77777777777777779</v>
      </c>
      <c r="AN88" s="5">
        <v>0.8</v>
      </c>
      <c r="AO88" s="5">
        <v>0.97219999999999995</v>
      </c>
      <c r="AP88" s="3">
        <v>180</v>
      </c>
    </row>
    <row r="89" spans="1:42">
      <c r="A89" s="4" t="str">
        <f>_xlfn.XLOOKUP(Table1[[#This Row],[SAP]],'Location List'!B:B,'Location List'!G:G)</f>
        <v>SOUTH TX/RGV</v>
      </c>
      <c r="B89" s="4" t="str">
        <f>LEFT(Table1[[#This Row],[Sap: Loaction]],4)</f>
        <v>1953</v>
      </c>
      <c r="C89" t="s">
        <v>973</v>
      </c>
      <c r="D89" t="s">
        <v>564</v>
      </c>
      <c r="E89" s="3">
        <v>5</v>
      </c>
      <c r="F89" s="3">
        <v>339</v>
      </c>
      <c r="G89">
        <v>273.64999999999998</v>
      </c>
      <c r="H89" t="s">
        <v>454</v>
      </c>
      <c r="I89" s="6">
        <v>9.0832999999999995</v>
      </c>
      <c r="J89" s="6">
        <v>35.003082851637764</v>
      </c>
      <c r="K89" s="5">
        <v>0.25950000000000001</v>
      </c>
      <c r="L89" s="3">
        <v>306</v>
      </c>
      <c r="M89">
        <v>21</v>
      </c>
      <c r="N89">
        <v>38.274000000000001</v>
      </c>
      <c r="O89" s="5">
        <v>0.54869999999999997</v>
      </c>
      <c r="P89" s="3">
        <v>311</v>
      </c>
      <c r="Q89">
        <v>33</v>
      </c>
      <c r="R89">
        <v>307</v>
      </c>
      <c r="S89" s="5">
        <v>0.10749185667752444</v>
      </c>
      <c r="T89" s="5">
        <v>0.23999074944747584</v>
      </c>
      <c r="U89" s="5">
        <v>0.44790000000000002</v>
      </c>
      <c r="V89" s="3">
        <v>328</v>
      </c>
      <c r="W89" s="5">
        <v>0.79349514513982711</v>
      </c>
      <c r="X89" s="3">
        <v>270</v>
      </c>
      <c r="Y89">
        <v>10</v>
      </c>
      <c r="Z89" s="3">
        <v>1</v>
      </c>
      <c r="AA89">
        <v>0</v>
      </c>
      <c r="AB89">
        <v>61</v>
      </c>
      <c r="AC89" s="5">
        <v>0</v>
      </c>
      <c r="AD89" s="5">
        <v>0.1</v>
      </c>
      <c r="AE89" s="5">
        <v>0</v>
      </c>
      <c r="AF89" s="3">
        <v>310</v>
      </c>
      <c r="AG89" s="5">
        <v>0.16666666666666666</v>
      </c>
      <c r="AH89" s="5">
        <v>0.4</v>
      </c>
      <c r="AI89" s="5">
        <v>0.41670000000000001</v>
      </c>
      <c r="AJ89" s="3">
        <v>317</v>
      </c>
      <c r="AK89">
        <v>4</v>
      </c>
      <c r="AL89">
        <v>7</v>
      </c>
      <c r="AM89" s="5">
        <v>0.5714285714285714</v>
      </c>
      <c r="AN89" s="5">
        <v>0.8</v>
      </c>
      <c r="AO89" s="5">
        <v>0.71430000000000005</v>
      </c>
      <c r="AP89" s="3">
        <v>266</v>
      </c>
    </row>
    <row r="90" spans="1:42">
      <c r="A90" s="4" t="str">
        <f>_xlfn.XLOOKUP(Table1[[#This Row],[SAP]],'Location List'!B:B,'Location List'!G:G)</f>
        <v>MO/IA/NE</v>
      </c>
      <c r="B90" s="4" t="str">
        <f>LEFT(Table1[[#This Row],[Sap: Loaction]],4)</f>
        <v>4BSH</v>
      </c>
      <c r="C90" t="s">
        <v>973</v>
      </c>
      <c r="D90" t="s">
        <v>578</v>
      </c>
      <c r="E90" s="3">
        <v>5</v>
      </c>
      <c r="F90" s="3">
        <v>343</v>
      </c>
      <c r="G90">
        <v>276.3</v>
      </c>
      <c r="H90" t="s">
        <v>454</v>
      </c>
      <c r="I90" s="6">
        <v>13.4962</v>
      </c>
      <c r="J90" s="6">
        <v>35.000518672199171</v>
      </c>
      <c r="K90" s="5">
        <v>0.3856</v>
      </c>
      <c r="L90" s="3">
        <v>272</v>
      </c>
      <c r="M90">
        <v>29</v>
      </c>
      <c r="N90">
        <v>50.325000000000003</v>
      </c>
      <c r="O90" s="5">
        <v>0.57630000000000003</v>
      </c>
      <c r="P90" s="3">
        <v>307</v>
      </c>
      <c r="Q90">
        <v>29</v>
      </c>
      <c r="R90">
        <v>343</v>
      </c>
      <c r="S90" s="5">
        <v>8.4548104956268216E-2</v>
      </c>
      <c r="T90" s="5">
        <v>0.23998894395761627</v>
      </c>
      <c r="U90" s="5">
        <v>0.3523</v>
      </c>
      <c r="V90" s="3">
        <v>342</v>
      </c>
      <c r="W90" s="5">
        <v>0.77401300619519797</v>
      </c>
      <c r="X90" s="3">
        <v>281</v>
      </c>
      <c r="Y90">
        <v>8.7777999999999992</v>
      </c>
      <c r="Z90" s="3">
        <v>225</v>
      </c>
      <c r="AA90">
        <v>2</v>
      </c>
      <c r="AB90">
        <v>57</v>
      </c>
      <c r="AC90" s="5">
        <v>3.5087719298245612E-2</v>
      </c>
      <c r="AD90" s="5">
        <v>0.1</v>
      </c>
      <c r="AE90" s="5">
        <v>0.35089999999999999</v>
      </c>
      <c r="AF90" s="3">
        <v>251</v>
      </c>
      <c r="AG90" s="5">
        <v>0.17414499999999999</v>
      </c>
      <c r="AH90" s="5">
        <v>0.4</v>
      </c>
      <c r="AI90" s="5">
        <v>0.43540000000000001</v>
      </c>
      <c r="AJ90" s="3">
        <v>315</v>
      </c>
      <c r="AK90">
        <v>10</v>
      </c>
      <c r="AL90">
        <v>13</v>
      </c>
      <c r="AM90" s="5">
        <v>0.76923076923076927</v>
      </c>
      <c r="AN90" s="5">
        <v>0.8</v>
      </c>
      <c r="AO90" s="5">
        <v>0.96150000000000002</v>
      </c>
      <c r="AP90" s="3">
        <v>184</v>
      </c>
    </row>
    <row r="91" spans="1:42">
      <c r="A91" s="4" t="str">
        <f>_xlfn.XLOOKUP(Table1[[#This Row],[SAP]],'Location List'!B:B,'Location List'!G:G)</f>
        <v>KS/OK</v>
      </c>
      <c r="B91" s="4" t="str">
        <f>LEFT(Table1[[#This Row],[Sap: Loaction]],4)</f>
        <v>849C</v>
      </c>
      <c r="C91" t="s">
        <v>973</v>
      </c>
      <c r="D91" t="s">
        <v>526</v>
      </c>
      <c r="E91" s="3">
        <v>5</v>
      </c>
      <c r="F91" s="3">
        <v>345</v>
      </c>
      <c r="G91">
        <v>280.3</v>
      </c>
      <c r="H91" t="s">
        <v>454</v>
      </c>
      <c r="I91" s="6">
        <v>1.9146000000000001</v>
      </c>
      <c r="J91" s="6">
        <v>39.970772442588732</v>
      </c>
      <c r="K91" s="5">
        <v>4.7899999999999998E-2</v>
      </c>
      <c r="L91" s="3">
        <v>330</v>
      </c>
      <c r="M91">
        <v>49</v>
      </c>
      <c r="N91">
        <v>97.459000000000003</v>
      </c>
      <c r="O91" s="5">
        <v>0.50280000000000002</v>
      </c>
      <c r="P91" s="3">
        <v>319</v>
      </c>
      <c r="Q91">
        <v>69</v>
      </c>
      <c r="R91">
        <v>476</v>
      </c>
      <c r="S91" s="5">
        <v>0.14495798319327732</v>
      </c>
      <c r="T91" s="5">
        <v>0.23999666091602206</v>
      </c>
      <c r="U91" s="5">
        <v>0.60399999999999998</v>
      </c>
      <c r="V91" s="3">
        <v>260</v>
      </c>
      <c r="W91" s="5">
        <v>0.59608882454963374</v>
      </c>
      <c r="X91" s="3">
        <v>317</v>
      </c>
      <c r="Y91">
        <v>7.3635999999999999</v>
      </c>
      <c r="Z91" s="3">
        <v>320</v>
      </c>
      <c r="AA91">
        <v>3</v>
      </c>
      <c r="AB91">
        <v>67</v>
      </c>
      <c r="AC91" s="5">
        <v>4.4776119402985072E-2</v>
      </c>
      <c r="AD91" s="5">
        <v>0.1</v>
      </c>
      <c r="AE91" s="5">
        <v>0.44779999999999998</v>
      </c>
      <c r="AF91" s="3">
        <v>233</v>
      </c>
      <c r="AG91" s="5">
        <v>0.35656533333333335</v>
      </c>
      <c r="AH91" s="5">
        <v>0.4</v>
      </c>
      <c r="AI91" s="5">
        <v>0.89139999999999997</v>
      </c>
      <c r="AJ91" s="3">
        <v>165</v>
      </c>
      <c r="AK91">
        <v>7</v>
      </c>
      <c r="AL91">
        <v>14</v>
      </c>
      <c r="AM91" s="5">
        <v>0.5</v>
      </c>
      <c r="AN91" s="5">
        <v>0.8</v>
      </c>
      <c r="AO91" s="5">
        <v>0.625</v>
      </c>
      <c r="AP91" s="3">
        <v>288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400"/>
  <sheetViews>
    <sheetView workbookViewId="0">
      <selection activeCell="F224" sqref="F224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489</v>
      </c>
      <c r="B1" s="4" t="s">
        <v>490</v>
      </c>
      <c r="C1" s="4" t="s">
        <v>972</v>
      </c>
      <c r="D1" s="1" t="s">
        <v>450</v>
      </c>
      <c r="E1" s="1" t="s">
        <v>584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585</v>
      </c>
      <c r="P1" s="1" t="s">
        <v>586</v>
      </c>
      <c r="Q1" s="1" t="s">
        <v>587</v>
      </c>
      <c r="R1" s="1" t="s">
        <v>588</v>
      </c>
      <c r="S1" s="1" t="s">
        <v>589</v>
      </c>
      <c r="T1" s="1" t="s">
        <v>590</v>
      </c>
      <c r="U1" s="1" t="s">
        <v>591</v>
      </c>
      <c r="V1" s="1" t="s">
        <v>464</v>
      </c>
      <c r="W1" s="1" t="s">
        <v>592</v>
      </c>
      <c r="X1" s="1" t="s">
        <v>593</v>
      </c>
      <c r="Y1" s="1" t="s">
        <v>594</v>
      </c>
      <c r="Z1" s="1" t="s">
        <v>595</v>
      </c>
      <c r="AA1" s="1" t="s">
        <v>596</v>
      </c>
      <c r="AB1" s="1" t="s">
        <v>597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" t="s">
        <v>488</v>
      </c>
    </row>
    <row r="2" spans="1:46" hidden="1">
      <c r="A2" s="4" t="str">
        <f>_xlfn.XLOOKUP(Table13[[#This Row],[SAP]],'Location List'!B:B,'Location List'!G:G)</f>
        <v>KS/OK</v>
      </c>
      <c r="B2" s="4" t="str">
        <f>LEFT(Table13[[#This Row],[Sap: Loaction]],4)</f>
        <v>407D</v>
      </c>
      <c r="C2" s="4" t="str">
        <f>_xlfn.XLOOKUP(Table13[[#This Row],[Employee]],'Location List'!M:M,'Location List'!N:N,"",0)</f>
        <v/>
      </c>
      <c r="D2" t="s">
        <v>973</v>
      </c>
      <c r="E2" t="s">
        <v>601</v>
      </c>
      <c r="F2" t="s">
        <v>556</v>
      </c>
      <c r="G2" s="3">
        <v>1</v>
      </c>
      <c r="H2" s="3">
        <v>13</v>
      </c>
      <c r="I2">
        <v>194.15</v>
      </c>
      <c r="J2" t="s">
        <v>454</v>
      </c>
      <c r="K2" s="6">
        <v>87.79</v>
      </c>
      <c r="L2" s="6">
        <v>40</v>
      </c>
      <c r="M2" s="5">
        <v>2.19475</v>
      </c>
      <c r="N2" s="3">
        <v>67</v>
      </c>
      <c r="O2" s="10">
        <v>19</v>
      </c>
      <c r="P2" s="10">
        <v>76</v>
      </c>
      <c r="Q2" s="5">
        <v>0.25</v>
      </c>
      <c r="R2" s="5">
        <v>0.19</v>
      </c>
      <c r="S2" s="5">
        <v>1.3157890000000001</v>
      </c>
      <c r="T2" s="3">
        <v>265</v>
      </c>
      <c r="U2" s="10">
        <v>5</v>
      </c>
      <c r="V2" s="10">
        <v>76</v>
      </c>
      <c r="W2" s="5">
        <v>6.5789473684210523E-2</v>
      </c>
      <c r="X2" s="5">
        <v>0.05</v>
      </c>
      <c r="Y2" s="5">
        <v>1.3157799999999999</v>
      </c>
      <c r="Z2" s="3">
        <v>107</v>
      </c>
      <c r="AA2" s="11">
        <v>1.1904760000000001</v>
      </c>
      <c r="AB2" s="3">
        <v>662</v>
      </c>
      <c r="AC2">
        <v>9.8333329999999997</v>
      </c>
      <c r="AD2" s="3">
        <v>5</v>
      </c>
      <c r="AE2">
        <v>4</v>
      </c>
      <c r="AF2">
        <v>19</v>
      </c>
      <c r="AG2" s="5">
        <v>0.21052631578947367</v>
      </c>
      <c r="AH2" s="5">
        <v>0.1</v>
      </c>
      <c r="AI2" s="5">
        <v>2.1052599999999999</v>
      </c>
      <c r="AJ2" s="3">
        <v>254</v>
      </c>
      <c r="AK2" s="5">
        <v>0.73333333333333339</v>
      </c>
      <c r="AL2" s="5">
        <v>0.4</v>
      </c>
      <c r="AM2" s="5">
        <v>1.833332</v>
      </c>
      <c r="AN2" s="3">
        <v>155</v>
      </c>
      <c r="AO2">
        <v>5</v>
      </c>
      <c r="AP2">
        <v>5</v>
      </c>
      <c r="AQ2" s="5">
        <v>1</v>
      </c>
      <c r="AR2" s="5">
        <v>0.8</v>
      </c>
      <c r="AS2" s="5">
        <v>1.25</v>
      </c>
      <c r="AT2" s="5">
        <v>1</v>
      </c>
    </row>
    <row r="3" spans="1:46" hidden="1">
      <c r="A3" s="4" t="str">
        <f>_xlfn.XLOOKUP(Table13[[#This Row],[SAP]],'Location List'!B:B,'Location List'!G:G)</f>
        <v>SA/HILL COUNTRY</v>
      </c>
      <c r="B3" s="4" t="str">
        <f>LEFT(Table13[[#This Row],[Sap: Loaction]],4)</f>
        <v>569D</v>
      </c>
      <c r="C3" s="4" t="str">
        <f>_xlfn.XLOOKUP(Table13[[#This Row],[Employee]],'Location List'!M:M,'Location List'!N:N,"",0)</f>
        <v/>
      </c>
      <c r="D3" t="s">
        <v>973</v>
      </c>
      <c r="E3" t="s">
        <v>609</v>
      </c>
      <c r="F3" t="s">
        <v>513</v>
      </c>
      <c r="G3" s="3">
        <v>1</v>
      </c>
      <c r="H3" s="3">
        <v>19</v>
      </c>
      <c r="I3">
        <v>206.6</v>
      </c>
      <c r="J3" t="s">
        <v>454</v>
      </c>
      <c r="K3" s="6">
        <v>51.24</v>
      </c>
      <c r="L3" s="6">
        <v>35</v>
      </c>
      <c r="M3" s="5">
        <v>1.464</v>
      </c>
      <c r="N3" s="3">
        <v>246</v>
      </c>
      <c r="O3" s="10">
        <v>14</v>
      </c>
      <c r="P3" s="10">
        <v>62</v>
      </c>
      <c r="Q3" s="5">
        <v>0.22580645161290322</v>
      </c>
      <c r="R3" s="5">
        <v>0.19</v>
      </c>
      <c r="S3" s="5">
        <v>1.1884520000000001</v>
      </c>
      <c r="T3" s="3">
        <v>372</v>
      </c>
      <c r="U3" s="10">
        <v>4</v>
      </c>
      <c r="V3" s="10">
        <v>62</v>
      </c>
      <c r="W3" s="5">
        <v>6.4516129032258063E-2</v>
      </c>
      <c r="X3" s="5">
        <v>0.05</v>
      </c>
      <c r="Y3" s="5">
        <v>1.2903199999999999</v>
      </c>
      <c r="Z3" s="3">
        <v>113</v>
      </c>
      <c r="AA3" s="11">
        <v>1</v>
      </c>
      <c r="AB3" s="3">
        <v>741</v>
      </c>
      <c r="AC3">
        <v>10</v>
      </c>
      <c r="AD3" s="3">
        <v>1</v>
      </c>
      <c r="AE3">
        <v>5</v>
      </c>
      <c r="AF3">
        <v>11</v>
      </c>
      <c r="AG3" s="5">
        <v>0.45454545454545453</v>
      </c>
      <c r="AH3" s="5">
        <v>0.1</v>
      </c>
      <c r="AI3" s="5">
        <v>4.5454499999999998</v>
      </c>
      <c r="AJ3" s="3">
        <v>64</v>
      </c>
      <c r="AK3" s="5">
        <v>1</v>
      </c>
      <c r="AL3" s="5">
        <v>0.4</v>
      </c>
      <c r="AM3" s="5">
        <v>2.5</v>
      </c>
      <c r="AN3" s="3">
        <v>1</v>
      </c>
      <c r="AO3">
        <v>1</v>
      </c>
      <c r="AP3">
        <v>1</v>
      </c>
      <c r="AQ3" s="5">
        <v>1</v>
      </c>
      <c r="AR3" s="5">
        <v>0.8</v>
      </c>
      <c r="AS3" s="5">
        <v>1.25</v>
      </c>
      <c r="AT3" s="5">
        <v>1</v>
      </c>
    </row>
    <row r="4" spans="1:46" hidden="1">
      <c r="A4" s="4" t="str">
        <f>_xlfn.XLOOKUP(Table13[[#This Row],[SAP]],'Location List'!B:B,'Location List'!G:G)</f>
        <v>SA SOUTH</v>
      </c>
      <c r="B4" s="4" t="str">
        <f>LEFT(Table13[[#This Row],[Sap: Loaction]],4)</f>
        <v>1DSZ</v>
      </c>
      <c r="C4" s="4" t="str">
        <f>_xlfn.XLOOKUP(Table13[[#This Row],[Employee]],'Location List'!M:M,'Location List'!N:N,"",0)</f>
        <v/>
      </c>
      <c r="D4" t="s">
        <v>973</v>
      </c>
      <c r="E4" t="s">
        <v>980</v>
      </c>
      <c r="F4" t="s">
        <v>504</v>
      </c>
      <c r="G4" s="3">
        <v>1</v>
      </c>
      <c r="H4" s="3">
        <v>20</v>
      </c>
      <c r="I4">
        <v>216.45</v>
      </c>
      <c r="J4" t="s">
        <v>454</v>
      </c>
      <c r="K4" s="6">
        <v>53.67</v>
      </c>
      <c r="L4" s="6">
        <v>35</v>
      </c>
      <c r="M4" s="5">
        <v>1.5334285714285714</v>
      </c>
      <c r="N4" s="3">
        <v>222</v>
      </c>
      <c r="O4" s="10">
        <v>11</v>
      </c>
      <c r="P4" s="10">
        <v>50</v>
      </c>
      <c r="Q4" s="5">
        <v>0.22</v>
      </c>
      <c r="R4" s="5">
        <v>0.19</v>
      </c>
      <c r="S4" s="5">
        <v>1.157894</v>
      </c>
      <c r="T4" s="3">
        <v>392</v>
      </c>
      <c r="U4" s="10">
        <v>3</v>
      </c>
      <c r="V4" s="10">
        <v>50</v>
      </c>
      <c r="W4" s="5">
        <v>0.06</v>
      </c>
      <c r="X4" s="5">
        <v>0.05</v>
      </c>
      <c r="Y4" s="5">
        <v>1.2</v>
      </c>
      <c r="Z4" s="3">
        <v>134</v>
      </c>
      <c r="AA4" s="11">
        <v>1.3333330000000001</v>
      </c>
      <c r="AB4" s="3">
        <v>550</v>
      </c>
      <c r="AC4">
        <v>0</v>
      </c>
      <c r="AD4" s="3">
        <v>75</v>
      </c>
      <c r="AE4">
        <v>2</v>
      </c>
      <c r="AF4">
        <v>5</v>
      </c>
      <c r="AG4" s="5">
        <v>0.4</v>
      </c>
      <c r="AH4" s="5">
        <v>0.1</v>
      </c>
      <c r="AI4" s="5">
        <v>4</v>
      </c>
      <c r="AJ4" s="3">
        <v>79</v>
      </c>
      <c r="AK4" s="5">
        <v>0.66666666666666663</v>
      </c>
      <c r="AL4" s="5">
        <v>0.4</v>
      </c>
      <c r="AM4" s="5">
        <v>1.6666650000000001</v>
      </c>
      <c r="AN4" s="3">
        <v>169</v>
      </c>
      <c r="AO4">
        <v>2</v>
      </c>
      <c r="AP4">
        <v>2</v>
      </c>
      <c r="AQ4" s="5">
        <v>1</v>
      </c>
      <c r="AR4" s="5">
        <v>0.8</v>
      </c>
      <c r="AS4" s="5">
        <v>1.25</v>
      </c>
      <c r="AT4" s="5">
        <v>1</v>
      </c>
    </row>
    <row r="5" spans="1:46" hidden="1">
      <c r="A5" s="4" t="str">
        <f>_xlfn.XLOOKUP(Table13[[#This Row],[SAP]],'Location List'!B:B,'Location List'!G:G)</f>
        <v>KS/OK</v>
      </c>
      <c r="B5" s="4" t="str">
        <f>LEFT(Table13[[#This Row],[Sap: Loaction]],4)</f>
        <v>4781</v>
      </c>
      <c r="C5" s="4" t="str">
        <f>_xlfn.XLOOKUP(Table13[[#This Row],[Employee]],'Location List'!M:M,'Location List'!N:N,"",0)</f>
        <v/>
      </c>
      <c r="D5" t="s">
        <v>973</v>
      </c>
      <c r="E5" t="s">
        <v>635</v>
      </c>
      <c r="F5" t="s">
        <v>495</v>
      </c>
      <c r="G5" s="3">
        <v>1</v>
      </c>
      <c r="H5" s="3">
        <v>29</v>
      </c>
      <c r="I5">
        <v>242.5</v>
      </c>
      <c r="J5" t="s">
        <v>454</v>
      </c>
      <c r="K5" s="6">
        <v>74.19</v>
      </c>
      <c r="L5" s="6">
        <v>40</v>
      </c>
      <c r="M5" s="5">
        <v>1.8547499999999999</v>
      </c>
      <c r="N5" s="3">
        <v>119</v>
      </c>
      <c r="O5" s="10">
        <v>40</v>
      </c>
      <c r="P5" s="10">
        <v>80</v>
      </c>
      <c r="Q5" s="5">
        <v>0.5</v>
      </c>
      <c r="R5" s="5">
        <v>0.19</v>
      </c>
      <c r="S5" s="5">
        <v>2.6315780000000002</v>
      </c>
      <c r="T5" s="3">
        <v>30</v>
      </c>
      <c r="U5" s="10">
        <v>0</v>
      </c>
      <c r="V5" s="10">
        <v>80</v>
      </c>
      <c r="W5" s="5">
        <v>0</v>
      </c>
      <c r="X5" s="5">
        <v>0.05</v>
      </c>
      <c r="Y5" s="5">
        <v>0</v>
      </c>
      <c r="Z5" s="3">
        <v>994</v>
      </c>
      <c r="AA5" s="11">
        <v>2</v>
      </c>
      <c r="AB5" s="3">
        <v>210</v>
      </c>
      <c r="AC5">
        <v>10</v>
      </c>
      <c r="AD5" s="3">
        <v>1</v>
      </c>
      <c r="AE5">
        <v>3</v>
      </c>
      <c r="AF5">
        <v>13</v>
      </c>
      <c r="AG5" s="5">
        <v>0.23076923076923078</v>
      </c>
      <c r="AH5" s="5">
        <v>0.1</v>
      </c>
      <c r="AI5" s="5">
        <v>2.30769</v>
      </c>
      <c r="AJ5" s="3">
        <v>233</v>
      </c>
      <c r="AK5" s="5">
        <v>0.33333299999999999</v>
      </c>
      <c r="AL5" s="5">
        <v>0.4</v>
      </c>
      <c r="AM5" s="5">
        <v>0.83333199999999996</v>
      </c>
      <c r="AN5" s="3">
        <v>631</v>
      </c>
      <c r="AO5">
        <v>5</v>
      </c>
      <c r="AP5">
        <v>5</v>
      </c>
      <c r="AQ5" s="5">
        <v>1</v>
      </c>
      <c r="AR5" s="5">
        <v>0.8</v>
      </c>
      <c r="AS5" s="5">
        <v>1.25</v>
      </c>
      <c r="AT5" s="5">
        <v>1</v>
      </c>
    </row>
    <row r="6" spans="1:46" hidden="1">
      <c r="A6" s="4" t="str">
        <f>_xlfn.XLOOKUP(Table13[[#This Row],[SAP]],'Location List'!B:B,'Location List'!G:G)</f>
        <v>SOUTH TX/RGV</v>
      </c>
      <c r="B6" s="4" t="str">
        <f>LEFT(Table13[[#This Row],[Sap: Loaction]],4)</f>
        <v>5332</v>
      </c>
      <c r="C6" s="4" t="str">
        <f>_xlfn.XLOOKUP(Table13[[#This Row],[Employee]],'Location List'!M:M,'Location List'!N:N,"",0)</f>
        <v/>
      </c>
      <c r="D6" t="s">
        <v>973</v>
      </c>
      <c r="E6" t="s">
        <v>604</v>
      </c>
      <c r="F6" t="s">
        <v>563</v>
      </c>
      <c r="G6" s="3">
        <v>1</v>
      </c>
      <c r="H6" s="3">
        <v>34</v>
      </c>
      <c r="I6">
        <v>250.9</v>
      </c>
      <c r="J6" t="s">
        <v>454</v>
      </c>
      <c r="K6" s="6">
        <v>29.7</v>
      </c>
      <c r="L6" s="6">
        <v>35</v>
      </c>
      <c r="M6" s="5">
        <v>0.84857142857142853</v>
      </c>
      <c r="N6" s="3">
        <v>606</v>
      </c>
      <c r="O6" s="10">
        <v>14</v>
      </c>
      <c r="P6" s="10">
        <v>18</v>
      </c>
      <c r="Q6" s="5">
        <v>0.77777777777777779</v>
      </c>
      <c r="R6" s="5">
        <v>0.19</v>
      </c>
      <c r="S6" s="5">
        <v>4.0935629999999996</v>
      </c>
      <c r="T6" s="3">
        <v>3</v>
      </c>
      <c r="U6" s="10">
        <v>1</v>
      </c>
      <c r="V6" s="10">
        <v>18</v>
      </c>
      <c r="W6" s="5">
        <v>5.5555555555555552E-2</v>
      </c>
      <c r="X6" s="5">
        <v>0.05</v>
      </c>
      <c r="Y6" s="5">
        <v>1.1111</v>
      </c>
      <c r="Z6" s="3">
        <v>162</v>
      </c>
      <c r="AA6" s="11">
        <v>1.4</v>
      </c>
      <c r="AB6" s="3">
        <v>509</v>
      </c>
      <c r="AC6">
        <v>10</v>
      </c>
      <c r="AD6" s="3">
        <v>1</v>
      </c>
      <c r="AE6">
        <v>1</v>
      </c>
      <c r="AF6">
        <v>9</v>
      </c>
      <c r="AG6" s="5">
        <v>0.1111111111111111</v>
      </c>
      <c r="AH6" s="5">
        <v>0.1</v>
      </c>
      <c r="AI6" s="5">
        <v>1.11111</v>
      </c>
      <c r="AJ6" s="3">
        <v>442</v>
      </c>
      <c r="AK6" s="5">
        <v>0.58333299999999999</v>
      </c>
      <c r="AL6" s="5">
        <v>0.4</v>
      </c>
      <c r="AM6" s="5">
        <v>1.458332</v>
      </c>
      <c r="AN6" s="3">
        <v>258</v>
      </c>
      <c r="AO6">
        <v>3</v>
      </c>
      <c r="AP6">
        <v>3</v>
      </c>
      <c r="AQ6" s="5">
        <v>1</v>
      </c>
      <c r="AR6" s="5">
        <v>0.8</v>
      </c>
      <c r="AS6" s="5">
        <v>1.25</v>
      </c>
      <c r="AT6" s="5">
        <v>1</v>
      </c>
    </row>
    <row r="7" spans="1:46">
      <c r="A7" s="4" t="str">
        <f>_xlfn.XLOOKUP(Table13[[#This Row],[SAP]],'Location List'!B:B,'Location List'!G:G)</f>
        <v>SOUTH TX/RGV</v>
      </c>
      <c r="B7" s="4" t="str">
        <f>LEFT(Table13[[#This Row],[Sap: Loaction]],4)</f>
        <v>200E</v>
      </c>
      <c r="C7" s="4" t="str">
        <f>_xlfn.XLOOKUP(Table13[[#This Row],[Employee]],'Location List'!M:M,'Location List'!N:N,"",0)</f>
        <v/>
      </c>
      <c r="D7" t="s">
        <v>973</v>
      </c>
      <c r="E7" t="s">
        <v>662</v>
      </c>
      <c r="F7" t="s">
        <v>543</v>
      </c>
      <c r="G7" s="3">
        <v>1</v>
      </c>
      <c r="H7" s="3">
        <v>54</v>
      </c>
      <c r="I7">
        <v>283.05</v>
      </c>
      <c r="J7" t="s">
        <v>454</v>
      </c>
      <c r="K7" s="6">
        <v>78.459999999999994</v>
      </c>
      <c r="L7" s="6">
        <v>39.999999999999993</v>
      </c>
      <c r="M7" s="5">
        <v>1.9615</v>
      </c>
      <c r="N7" s="3">
        <v>95</v>
      </c>
      <c r="O7" s="10">
        <v>20</v>
      </c>
      <c r="P7" s="10">
        <v>77</v>
      </c>
      <c r="Q7" s="5">
        <v>0.25974025974025972</v>
      </c>
      <c r="R7" s="5">
        <v>0.19</v>
      </c>
      <c r="S7" s="5">
        <v>1.3670519999999999</v>
      </c>
      <c r="T7" s="3">
        <v>251</v>
      </c>
      <c r="U7" s="10">
        <v>1</v>
      </c>
      <c r="V7" s="10">
        <v>77</v>
      </c>
      <c r="W7" s="5">
        <v>1.2987012987012988E-2</v>
      </c>
      <c r="X7" s="5">
        <v>0.05</v>
      </c>
      <c r="Y7" s="5">
        <v>0.25974000000000003</v>
      </c>
      <c r="Z7" s="3">
        <v>855</v>
      </c>
      <c r="AA7" s="11">
        <v>2</v>
      </c>
      <c r="AB7" s="3">
        <v>210</v>
      </c>
      <c r="AC7">
        <v>0</v>
      </c>
      <c r="AD7" s="3">
        <v>75</v>
      </c>
      <c r="AE7">
        <v>0</v>
      </c>
      <c r="AF7">
        <v>6</v>
      </c>
      <c r="AG7" s="5">
        <v>0</v>
      </c>
      <c r="AH7" s="5">
        <v>0.1</v>
      </c>
      <c r="AI7" s="5">
        <v>0</v>
      </c>
      <c r="AJ7" s="3">
        <v>696</v>
      </c>
      <c r="AK7" s="5">
        <v>1</v>
      </c>
      <c r="AL7" s="5">
        <v>0.4</v>
      </c>
      <c r="AM7" s="5">
        <v>2.5</v>
      </c>
      <c r="AN7" s="3">
        <v>1</v>
      </c>
      <c r="AO7">
        <v>2</v>
      </c>
      <c r="AP7">
        <v>2</v>
      </c>
      <c r="AQ7" s="5">
        <v>1</v>
      </c>
      <c r="AR7" s="5">
        <v>0.8</v>
      </c>
      <c r="AS7" s="5">
        <v>1.25</v>
      </c>
      <c r="AT7" s="5">
        <v>1</v>
      </c>
    </row>
    <row r="8" spans="1:46" hidden="1">
      <c r="A8" s="4" t="str">
        <f>_xlfn.XLOOKUP(Table13[[#This Row],[SAP]],'Location List'!B:B,'Location List'!G:G)</f>
        <v>SOUTH TX/RGV</v>
      </c>
      <c r="B8" s="4" t="str">
        <f>LEFT(Table13[[#This Row],[Sap: Loaction]],4)</f>
        <v>2584</v>
      </c>
      <c r="C8" s="4" t="str">
        <f>_xlfn.XLOOKUP(Table13[[#This Row],[Employee]],'Location List'!M:M,'Location List'!N:N,"",0)</f>
        <v/>
      </c>
      <c r="D8" t="s">
        <v>973</v>
      </c>
      <c r="E8" t="s">
        <v>974</v>
      </c>
      <c r="F8" t="s">
        <v>498</v>
      </c>
      <c r="G8" s="3">
        <v>1</v>
      </c>
      <c r="H8" s="3">
        <v>58</v>
      </c>
      <c r="I8">
        <v>288.2</v>
      </c>
      <c r="J8" t="s">
        <v>454</v>
      </c>
      <c r="K8" s="6">
        <v>164.26</v>
      </c>
      <c r="L8" s="6">
        <v>40</v>
      </c>
      <c r="M8" s="5">
        <v>4.1064999999999996</v>
      </c>
      <c r="N8" s="3">
        <v>2</v>
      </c>
      <c r="O8" s="10">
        <v>69</v>
      </c>
      <c r="P8" s="10">
        <v>134</v>
      </c>
      <c r="Q8" s="5">
        <v>0.5149253731343284</v>
      </c>
      <c r="R8" s="5">
        <v>0.19</v>
      </c>
      <c r="S8" s="5">
        <v>2.7101310000000001</v>
      </c>
      <c r="T8" s="3">
        <v>28</v>
      </c>
      <c r="U8" s="10">
        <v>1</v>
      </c>
      <c r="V8" s="10">
        <v>134</v>
      </c>
      <c r="W8" s="5">
        <v>7.462686567164179E-3</v>
      </c>
      <c r="X8" s="5">
        <v>0.05</v>
      </c>
      <c r="Y8" s="5">
        <v>0.14924000000000001</v>
      </c>
      <c r="Z8" s="3">
        <v>974</v>
      </c>
      <c r="AA8" s="11">
        <v>1.2083330000000001</v>
      </c>
      <c r="AB8" s="3">
        <v>640</v>
      </c>
      <c r="AC8">
        <v>10</v>
      </c>
      <c r="AD8" s="3">
        <v>1</v>
      </c>
      <c r="AE8">
        <v>8</v>
      </c>
      <c r="AF8">
        <v>26</v>
      </c>
      <c r="AG8" s="5">
        <v>0.30769230769230771</v>
      </c>
      <c r="AH8" s="5">
        <v>0.1</v>
      </c>
      <c r="AI8" s="5">
        <v>3.0769199999999999</v>
      </c>
      <c r="AJ8" s="3">
        <v>150</v>
      </c>
      <c r="AK8" s="5">
        <v>0.58599400000000001</v>
      </c>
      <c r="AL8" s="5">
        <v>0.4</v>
      </c>
      <c r="AM8" s="5">
        <v>1.464985</v>
      </c>
      <c r="AN8" s="3">
        <v>256</v>
      </c>
      <c r="AO8">
        <v>16</v>
      </c>
      <c r="AP8">
        <v>27</v>
      </c>
      <c r="AQ8" s="5">
        <v>0.59259259259259256</v>
      </c>
      <c r="AR8" s="5">
        <v>0.8</v>
      </c>
      <c r="AS8" s="5">
        <v>0.74073999999999995</v>
      </c>
      <c r="AT8" s="5">
        <v>727</v>
      </c>
    </row>
    <row r="9" spans="1:46" hidden="1">
      <c r="A9" s="4" t="str">
        <f>_xlfn.XLOOKUP(Table13[[#This Row],[SAP]],'Location List'!B:B,'Location List'!G:G)</f>
        <v>KS/OK</v>
      </c>
      <c r="B9" s="4" t="str">
        <f>LEFT(Table13[[#This Row],[Sap: Loaction]],4)</f>
        <v>4781</v>
      </c>
      <c r="C9" s="4" t="str">
        <f>_xlfn.XLOOKUP(Table13[[#This Row],[Employee]],'Location List'!M:M,'Location List'!N:N,"",0)</f>
        <v/>
      </c>
      <c r="D9" t="s">
        <v>973</v>
      </c>
      <c r="E9" t="s">
        <v>652</v>
      </c>
      <c r="F9" t="s">
        <v>495</v>
      </c>
      <c r="G9" s="3">
        <v>1</v>
      </c>
      <c r="H9" s="3">
        <v>69</v>
      </c>
      <c r="I9">
        <v>299.55</v>
      </c>
      <c r="J9" t="s">
        <v>454</v>
      </c>
      <c r="K9" s="6">
        <v>101.72</v>
      </c>
      <c r="L9" s="6">
        <v>40</v>
      </c>
      <c r="M9" s="5">
        <v>2.5430000000000001</v>
      </c>
      <c r="N9" s="3">
        <v>25</v>
      </c>
      <c r="O9" s="10">
        <v>30</v>
      </c>
      <c r="P9" s="10">
        <v>56</v>
      </c>
      <c r="Q9" s="5">
        <v>0.5357142857142857</v>
      </c>
      <c r="R9" s="5">
        <v>0.19</v>
      </c>
      <c r="S9" s="5">
        <v>2.819547</v>
      </c>
      <c r="T9" s="3">
        <v>24</v>
      </c>
      <c r="U9" s="10">
        <v>0</v>
      </c>
      <c r="V9" s="10">
        <v>56</v>
      </c>
      <c r="W9" s="5">
        <v>0</v>
      </c>
      <c r="X9" s="5">
        <v>0.05</v>
      </c>
      <c r="Y9" s="5">
        <v>0</v>
      </c>
      <c r="Z9" s="3">
        <v>994</v>
      </c>
      <c r="AA9" s="11">
        <v>1.75</v>
      </c>
      <c r="AB9" s="3">
        <v>324</v>
      </c>
      <c r="AC9">
        <v>10</v>
      </c>
      <c r="AD9" s="3">
        <v>1</v>
      </c>
      <c r="AE9">
        <v>0</v>
      </c>
      <c r="AF9">
        <v>4</v>
      </c>
      <c r="AG9" s="5">
        <v>0</v>
      </c>
      <c r="AH9" s="5">
        <v>0.1</v>
      </c>
      <c r="AI9" s="5">
        <v>0</v>
      </c>
      <c r="AJ9" s="3">
        <v>696</v>
      </c>
      <c r="AK9" s="5">
        <v>0.40909050000000002</v>
      </c>
      <c r="AL9" s="5">
        <v>0.4</v>
      </c>
      <c r="AM9" s="5">
        <v>1.0227250000000001</v>
      </c>
      <c r="AN9" s="3">
        <v>546</v>
      </c>
      <c r="AO9">
        <v>7</v>
      </c>
      <c r="AP9">
        <v>7</v>
      </c>
      <c r="AQ9" s="5">
        <v>1</v>
      </c>
      <c r="AR9" s="5">
        <v>0.8</v>
      </c>
      <c r="AS9" s="5">
        <v>1.25</v>
      </c>
      <c r="AT9" s="5">
        <v>1</v>
      </c>
    </row>
    <row r="10" spans="1:46" hidden="1">
      <c r="A10" s="4" t="str">
        <f>_xlfn.XLOOKUP(Table13[[#This Row],[SAP]],'Location List'!B:B,'Location List'!G:G)</f>
        <v>WEST TEXAS</v>
      </c>
      <c r="B10" s="4" t="str">
        <f>LEFT(Table13[[#This Row],[Sap: Loaction]],4)</f>
        <v>1LSS</v>
      </c>
      <c r="C10" s="4" t="str">
        <f>_xlfn.XLOOKUP(Table13[[#This Row],[Employee]],'Location List'!M:M,'Location List'!N:N,"",0)</f>
        <v>RSM</v>
      </c>
      <c r="D10" t="s">
        <v>973</v>
      </c>
      <c r="E10" t="s">
        <v>669</v>
      </c>
      <c r="F10" t="s">
        <v>537</v>
      </c>
      <c r="G10" s="3">
        <v>1</v>
      </c>
      <c r="H10" s="3">
        <v>92</v>
      </c>
      <c r="I10">
        <v>324.5</v>
      </c>
      <c r="J10" t="s">
        <v>454</v>
      </c>
      <c r="K10" s="6">
        <v>7.78</v>
      </c>
      <c r="L10" s="6">
        <v>35</v>
      </c>
      <c r="M10" s="5">
        <v>0.22228571428571428</v>
      </c>
      <c r="N10" s="3">
        <v>1050</v>
      </c>
      <c r="O10" s="10">
        <v>15</v>
      </c>
      <c r="P10" s="10">
        <v>44</v>
      </c>
      <c r="Q10" s="5">
        <v>0.34090909090909088</v>
      </c>
      <c r="R10" s="5">
        <v>0.19</v>
      </c>
      <c r="S10" s="5">
        <v>1.794257</v>
      </c>
      <c r="T10" s="3">
        <v>118</v>
      </c>
      <c r="U10" s="10">
        <v>3</v>
      </c>
      <c r="V10" s="10">
        <v>44</v>
      </c>
      <c r="W10" s="5">
        <v>6.8181818181818177E-2</v>
      </c>
      <c r="X10" s="5">
        <v>0.05</v>
      </c>
      <c r="Y10" s="5">
        <v>1.3636200000000001</v>
      </c>
      <c r="Z10" s="3">
        <v>97</v>
      </c>
      <c r="AA10" s="11">
        <v>1.636363</v>
      </c>
      <c r="AB10" s="3">
        <v>383</v>
      </c>
      <c r="AC10">
        <v>10</v>
      </c>
      <c r="AD10" s="3">
        <v>1</v>
      </c>
      <c r="AE10">
        <v>1</v>
      </c>
      <c r="AF10">
        <v>9</v>
      </c>
      <c r="AG10" s="5">
        <v>0.1111111111111111</v>
      </c>
      <c r="AH10" s="5">
        <v>0.1</v>
      </c>
      <c r="AI10" s="5">
        <v>1.11111</v>
      </c>
      <c r="AJ10" s="3">
        <v>442</v>
      </c>
      <c r="AK10" s="5">
        <v>0.55555533333333329</v>
      </c>
      <c r="AL10" s="5">
        <v>0.4</v>
      </c>
      <c r="AM10" s="5">
        <v>1.388887</v>
      </c>
      <c r="AN10" s="3">
        <v>289</v>
      </c>
      <c r="AO10">
        <v>1</v>
      </c>
      <c r="AP10">
        <v>1</v>
      </c>
      <c r="AQ10" s="5">
        <v>1</v>
      </c>
      <c r="AR10" s="5">
        <v>0.8</v>
      </c>
      <c r="AS10" s="5">
        <v>1.25</v>
      </c>
      <c r="AT10" s="5">
        <v>1</v>
      </c>
    </row>
    <row r="11" spans="1:46" hidden="1">
      <c r="A11" s="4" t="str">
        <f>_xlfn.XLOOKUP(Table13[[#This Row],[SAP]],'Location List'!B:B,'Location List'!G:G)</f>
        <v>DFW NORTH</v>
      </c>
      <c r="B11" s="4" t="str">
        <f>LEFT(Table13[[#This Row],[Sap: Loaction]],4)</f>
        <v>1239</v>
      </c>
      <c r="C11" s="4" t="str">
        <f>_xlfn.XLOOKUP(Table13[[#This Row],[Employee]],'Location List'!M:M,'Location List'!N:N,"",0)</f>
        <v/>
      </c>
      <c r="D11" t="s">
        <v>973</v>
      </c>
      <c r="E11" t="s">
        <v>708</v>
      </c>
      <c r="F11" t="s">
        <v>582</v>
      </c>
      <c r="G11" s="3">
        <v>1</v>
      </c>
      <c r="H11" s="3">
        <v>102</v>
      </c>
      <c r="I11">
        <v>331.65</v>
      </c>
      <c r="J11" t="s">
        <v>454</v>
      </c>
      <c r="K11" s="6">
        <v>46.31</v>
      </c>
      <c r="L11" s="6">
        <v>35</v>
      </c>
      <c r="M11" s="5">
        <v>1.3231428571428572</v>
      </c>
      <c r="N11" s="3">
        <v>311</v>
      </c>
      <c r="O11" s="10">
        <v>14</v>
      </c>
      <c r="P11" s="10">
        <v>51</v>
      </c>
      <c r="Q11" s="5">
        <v>0.27450980392156865</v>
      </c>
      <c r="R11" s="5">
        <v>0.19</v>
      </c>
      <c r="S11" s="5">
        <v>1.4447840000000001</v>
      </c>
      <c r="T11" s="3">
        <v>224</v>
      </c>
      <c r="U11" s="10">
        <v>2</v>
      </c>
      <c r="V11" s="10">
        <v>51</v>
      </c>
      <c r="W11" s="5">
        <v>3.9215686274509803E-2</v>
      </c>
      <c r="X11" s="5">
        <v>0.05</v>
      </c>
      <c r="Y11" s="5">
        <v>0.7843</v>
      </c>
      <c r="Z11" s="3">
        <v>337</v>
      </c>
      <c r="AA11" s="11">
        <v>1.625</v>
      </c>
      <c r="AB11" s="3">
        <v>388</v>
      </c>
      <c r="AC11">
        <v>10</v>
      </c>
      <c r="AD11" s="3">
        <v>1</v>
      </c>
      <c r="AE11">
        <v>0</v>
      </c>
      <c r="AF11">
        <v>12</v>
      </c>
      <c r="AG11" s="5">
        <v>0</v>
      </c>
      <c r="AH11" s="5">
        <v>0.1</v>
      </c>
      <c r="AI11" s="5">
        <v>0</v>
      </c>
      <c r="AJ11" s="3">
        <v>696</v>
      </c>
      <c r="AK11" s="5">
        <v>0.33333333333333331</v>
      </c>
      <c r="AL11" s="5">
        <v>0.4</v>
      </c>
      <c r="AM11" s="5">
        <v>0.83333199999999996</v>
      </c>
      <c r="AN11" s="3">
        <v>631</v>
      </c>
      <c r="AO11">
        <v>4</v>
      </c>
      <c r="AP11">
        <v>4</v>
      </c>
      <c r="AQ11" s="5">
        <v>1</v>
      </c>
      <c r="AR11" s="5">
        <v>0.8</v>
      </c>
      <c r="AS11" s="5">
        <v>1.25</v>
      </c>
      <c r="AT11" s="5">
        <v>1</v>
      </c>
    </row>
    <row r="12" spans="1:46" hidden="1">
      <c r="A12" s="4" t="str">
        <f>_xlfn.XLOOKUP(Table13[[#This Row],[SAP]],'Location List'!B:B,'Location List'!G:G)</f>
        <v>MO/IA/NE</v>
      </c>
      <c r="B12" s="4" t="str">
        <f>LEFT(Table13[[#This Row],[Sap: Loaction]],4)</f>
        <v>3ISR</v>
      </c>
      <c r="C12" s="4" t="str">
        <f>_xlfn.XLOOKUP(Table13[[#This Row],[Employee]],'Location List'!M:M,'Location List'!N:N,"",0)</f>
        <v/>
      </c>
      <c r="D12" t="s">
        <v>973</v>
      </c>
      <c r="E12" t="s">
        <v>838</v>
      </c>
      <c r="F12" t="s">
        <v>493</v>
      </c>
      <c r="G12" s="3">
        <v>1</v>
      </c>
      <c r="H12" s="3">
        <v>107</v>
      </c>
      <c r="I12">
        <v>332.3</v>
      </c>
      <c r="J12" t="s">
        <v>454</v>
      </c>
      <c r="K12" s="6">
        <v>94.06</v>
      </c>
      <c r="L12" s="6">
        <v>40</v>
      </c>
      <c r="M12" s="5">
        <v>2.3515000000000001</v>
      </c>
      <c r="N12" s="3">
        <v>51</v>
      </c>
      <c r="O12" s="10">
        <v>24</v>
      </c>
      <c r="P12" s="10">
        <v>75</v>
      </c>
      <c r="Q12" s="5">
        <v>0.32</v>
      </c>
      <c r="R12" s="5">
        <v>0.19</v>
      </c>
      <c r="S12" s="5">
        <v>1.68421</v>
      </c>
      <c r="T12" s="3">
        <v>153</v>
      </c>
      <c r="U12" s="10">
        <v>0</v>
      </c>
      <c r="V12" s="10">
        <v>75</v>
      </c>
      <c r="W12" s="5">
        <v>0</v>
      </c>
      <c r="X12" s="5">
        <v>0.05</v>
      </c>
      <c r="Y12" s="5">
        <v>0</v>
      </c>
      <c r="Z12" s="3">
        <v>994</v>
      </c>
      <c r="AA12" s="11">
        <v>0.46666600000000003</v>
      </c>
      <c r="AB12" s="3">
        <v>1222</v>
      </c>
      <c r="AC12">
        <v>10</v>
      </c>
      <c r="AD12" s="3">
        <v>1</v>
      </c>
      <c r="AE12">
        <v>2</v>
      </c>
      <c r="AF12">
        <v>16</v>
      </c>
      <c r="AG12" s="5">
        <v>0.125</v>
      </c>
      <c r="AH12" s="5">
        <v>0.1</v>
      </c>
      <c r="AI12" s="5">
        <v>1.25</v>
      </c>
      <c r="AJ12" s="3">
        <v>409</v>
      </c>
      <c r="AK12" s="5">
        <v>0.83333299999999999</v>
      </c>
      <c r="AL12" s="5">
        <v>0.4</v>
      </c>
      <c r="AM12" s="5">
        <v>2.083332</v>
      </c>
      <c r="AN12" s="3">
        <v>109</v>
      </c>
      <c r="AO12">
        <v>2</v>
      </c>
      <c r="AP12">
        <v>2</v>
      </c>
      <c r="AQ12" s="5">
        <v>1</v>
      </c>
      <c r="AR12" s="5">
        <v>0.8</v>
      </c>
      <c r="AS12" s="5">
        <v>1.25</v>
      </c>
      <c r="AT12" s="5">
        <v>1</v>
      </c>
    </row>
    <row r="13" spans="1:46" hidden="1">
      <c r="A13" s="4" t="str">
        <f>_xlfn.XLOOKUP(Table13[[#This Row],[SAP]],'Location List'!B:B,'Location List'!G:G)</f>
        <v>SOUTH TX/RGV</v>
      </c>
      <c r="B13" s="4" t="str">
        <f>LEFT(Table13[[#This Row],[Sap: Loaction]],4)</f>
        <v>200E</v>
      </c>
      <c r="C13" s="4" t="str">
        <f>_xlfn.XLOOKUP(Table13[[#This Row],[Employee]],'Location List'!M:M,'Location List'!N:N,"",0)</f>
        <v/>
      </c>
      <c r="D13" t="s">
        <v>973</v>
      </c>
      <c r="E13" t="s">
        <v>667</v>
      </c>
      <c r="F13" t="s">
        <v>543</v>
      </c>
      <c r="G13" s="3">
        <v>1</v>
      </c>
      <c r="H13" s="3">
        <v>108</v>
      </c>
      <c r="I13">
        <v>333.95</v>
      </c>
      <c r="J13" t="s">
        <v>454</v>
      </c>
      <c r="K13" s="6">
        <v>14.43</v>
      </c>
      <c r="L13" s="6">
        <v>40</v>
      </c>
      <c r="M13" s="5">
        <v>0.36075000000000002</v>
      </c>
      <c r="N13" s="3">
        <v>952</v>
      </c>
      <c r="O13" s="10">
        <v>21</v>
      </c>
      <c r="P13" s="10">
        <v>38</v>
      </c>
      <c r="Q13" s="5">
        <v>0.55263157894736847</v>
      </c>
      <c r="R13" s="5">
        <v>0.19</v>
      </c>
      <c r="S13" s="5">
        <v>2.9085839999999998</v>
      </c>
      <c r="T13" s="3">
        <v>20</v>
      </c>
      <c r="U13" s="10">
        <v>2</v>
      </c>
      <c r="V13" s="10">
        <v>38</v>
      </c>
      <c r="W13" s="5">
        <v>5.2631578947368418E-2</v>
      </c>
      <c r="X13" s="5">
        <v>0.05</v>
      </c>
      <c r="Y13" s="5">
        <v>1.0526199999999999</v>
      </c>
      <c r="Z13" s="3">
        <v>189</v>
      </c>
      <c r="AA13" s="11">
        <v>0.9</v>
      </c>
      <c r="AB13" s="3">
        <v>878</v>
      </c>
      <c r="AC13">
        <v>9.75</v>
      </c>
      <c r="AD13" s="3">
        <v>7</v>
      </c>
      <c r="AE13">
        <v>10</v>
      </c>
      <c r="AF13">
        <v>14</v>
      </c>
      <c r="AG13" s="5">
        <v>0.7142857142857143</v>
      </c>
      <c r="AH13" s="5">
        <v>0.1</v>
      </c>
      <c r="AI13" s="5">
        <v>7.1428500000000001</v>
      </c>
      <c r="AJ13" s="3">
        <v>13</v>
      </c>
      <c r="AK13" s="5">
        <v>0.71666666666666667</v>
      </c>
      <c r="AL13" s="5">
        <v>0.4</v>
      </c>
      <c r="AM13" s="5">
        <v>1.7916650000000001</v>
      </c>
      <c r="AN13" s="3">
        <v>159</v>
      </c>
      <c r="AO13">
        <v>4</v>
      </c>
      <c r="AP13">
        <v>5</v>
      </c>
      <c r="AQ13" s="5">
        <v>0.8</v>
      </c>
      <c r="AR13" s="5">
        <v>0.8</v>
      </c>
      <c r="AS13" s="5">
        <v>1</v>
      </c>
      <c r="AT13" s="5">
        <v>619</v>
      </c>
    </row>
    <row r="14" spans="1:46" hidden="1">
      <c r="A14" s="4" t="str">
        <f>_xlfn.XLOOKUP(Table13[[#This Row],[SAP]],'Location List'!B:B,'Location List'!G:G)</f>
        <v>DFW EAST</v>
      </c>
      <c r="B14" s="4" t="str">
        <f>LEFT(Table13[[#This Row],[Sap: Loaction]],4)</f>
        <v>5564</v>
      </c>
      <c r="C14" s="4" t="str">
        <f>_xlfn.XLOOKUP(Table13[[#This Row],[Employee]],'Location List'!M:M,'Location List'!N:N,"",0)</f>
        <v/>
      </c>
      <c r="D14" t="s">
        <v>973</v>
      </c>
      <c r="E14" t="s">
        <v>845</v>
      </c>
      <c r="F14" t="s">
        <v>542</v>
      </c>
      <c r="G14" s="3">
        <v>1</v>
      </c>
      <c r="H14" s="3">
        <v>109</v>
      </c>
      <c r="I14">
        <v>336.15</v>
      </c>
      <c r="J14" t="s">
        <v>454</v>
      </c>
      <c r="K14" s="6">
        <v>54.59</v>
      </c>
      <c r="L14" s="6">
        <v>35.000000000000007</v>
      </c>
      <c r="M14" s="5">
        <v>1.5597142857142856</v>
      </c>
      <c r="N14" s="3">
        <v>207</v>
      </c>
      <c r="O14" s="10">
        <v>13</v>
      </c>
      <c r="P14" s="10">
        <v>46</v>
      </c>
      <c r="Q14" s="5">
        <v>0.28260869565217389</v>
      </c>
      <c r="R14" s="5">
        <v>0.19</v>
      </c>
      <c r="S14" s="5">
        <v>1.4874099999999999</v>
      </c>
      <c r="T14" s="3">
        <v>209</v>
      </c>
      <c r="U14" s="10">
        <v>4</v>
      </c>
      <c r="V14" s="10">
        <v>46</v>
      </c>
      <c r="W14" s="5">
        <v>8.6956521739130432E-2</v>
      </c>
      <c r="X14" s="5">
        <v>0.05</v>
      </c>
      <c r="Y14" s="5">
        <v>1.73912</v>
      </c>
      <c r="Z14" s="3">
        <v>44</v>
      </c>
      <c r="AA14" s="11">
        <v>0.94117600000000001</v>
      </c>
      <c r="AB14" s="3">
        <v>864</v>
      </c>
      <c r="AC14">
        <v>8</v>
      </c>
      <c r="AD14" s="3">
        <v>36</v>
      </c>
      <c r="AE14">
        <v>4</v>
      </c>
      <c r="AF14">
        <v>11</v>
      </c>
      <c r="AG14" s="5">
        <v>0.36363636363636365</v>
      </c>
      <c r="AH14" s="5">
        <v>0.1</v>
      </c>
      <c r="AI14" s="5">
        <v>3.6363599999999998</v>
      </c>
      <c r="AJ14" s="3">
        <v>104</v>
      </c>
      <c r="AK14" s="5">
        <v>0.33333333333333331</v>
      </c>
      <c r="AL14" s="5">
        <v>0.4</v>
      </c>
      <c r="AM14" s="5">
        <v>0.83333199999999996</v>
      </c>
      <c r="AN14" s="3">
        <v>631</v>
      </c>
      <c r="AO14">
        <v>0</v>
      </c>
      <c r="AP14">
        <v>0</v>
      </c>
      <c r="AQ14" s="5" t="s">
        <v>653</v>
      </c>
      <c r="AR14" s="5">
        <v>0.8</v>
      </c>
      <c r="AS14" s="5">
        <v>0</v>
      </c>
      <c r="AT14" s="5">
        <v>902</v>
      </c>
    </row>
    <row r="15" spans="1:46" hidden="1">
      <c r="A15" s="4" t="str">
        <f>_xlfn.XLOOKUP(Table13[[#This Row],[SAP]],'Location List'!B:B,'Location List'!G:G)</f>
        <v>SA/HILL COUNTRY</v>
      </c>
      <c r="B15" s="4" t="str">
        <f>LEFT(Table13[[#This Row],[Sap: Loaction]],4)</f>
        <v>1ESD</v>
      </c>
      <c r="C15" s="4" t="str">
        <f>_xlfn.XLOOKUP(Table13[[#This Row],[Employee]],'Location List'!M:M,'Location List'!N:N,"",0)</f>
        <v/>
      </c>
      <c r="D15" t="s">
        <v>973</v>
      </c>
      <c r="E15" t="s">
        <v>777</v>
      </c>
      <c r="F15" t="s">
        <v>573</v>
      </c>
      <c r="G15" s="3">
        <v>1</v>
      </c>
      <c r="H15" s="3">
        <v>118</v>
      </c>
      <c r="I15">
        <v>340.15</v>
      </c>
      <c r="J15" t="s">
        <v>454</v>
      </c>
      <c r="K15" s="6">
        <v>14.99</v>
      </c>
      <c r="L15" s="6">
        <v>40</v>
      </c>
      <c r="M15" s="5">
        <v>0.37475000000000003</v>
      </c>
      <c r="N15" s="3">
        <v>941</v>
      </c>
      <c r="O15" s="10">
        <v>12</v>
      </c>
      <c r="P15" s="10">
        <v>52</v>
      </c>
      <c r="Q15" s="5">
        <v>0.23076923076923078</v>
      </c>
      <c r="R15" s="5">
        <v>0.19</v>
      </c>
      <c r="S15" s="5">
        <v>1.2145729999999999</v>
      </c>
      <c r="T15" s="3">
        <v>344</v>
      </c>
      <c r="U15" s="10">
        <v>2</v>
      </c>
      <c r="V15" s="10">
        <v>52</v>
      </c>
      <c r="W15" s="5">
        <v>3.8461538461538464E-2</v>
      </c>
      <c r="X15" s="5">
        <v>0.05</v>
      </c>
      <c r="Y15" s="5">
        <v>0.76922000000000001</v>
      </c>
      <c r="Z15" s="3">
        <v>343</v>
      </c>
      <c r="AA15" s="11">
        <v>2.875</v>
      </c>
      <c r="AB15" s="3">
        <v>97</v>
      </c>
      <c r="AC15">
        <v>10</v>
      </c>
      <c r="AD15" s="3">
        <v>1</v>
      </c>
      <c r="AE15">
        <v>2</v>
      </c>
      <c r="AF15">
        <v>13</v>
      </c>
      <c r="AG15" s="5">
        <v>0.15384615384615385</v>
      </c>
      <c r="AH15" s="5">
        <v>0.1</v>
      </c>
      <c r="AI15" s="5">
        <v>1.5384599999999999</v>
      </c>
      <c r="AJ15" s="3">
        <v>356</v>
      </c>
      <c r="AK15" s="5">
        <v>0.5</v>
      </c>
      <c r="AL15" s="5">
        <v>0.4</v>
      </c>
      <c r="AM15" s="5">
        <v>1.25</v>
      </c>
      <c r="AN15" s="3">
        <v>326</v>
      </c>
      <c r="AO15">
        <v>3</v>
      </c>
      <c r="AP15">
        <v>3</v>
      </c>
      <c r="AQ15" s="5">
        <v>1</v>
      </c>
      <c r="AR15" s="5">
        <v>0.8</v>
      </c>
      <c r="AS15" s="5">
        <v>1.25</v>
      </c>
      <c r="AT15" s="5">
        <v>1</v>
      </c>
    </row>
    <row r="16" spans="1:46">
      <c r="A16" s="4" t="str">
        <f>_xlfn.XLOOKUP(Table13[[#This Row],[SAP]],'Location List'!B:B,'Location List'!G:G)</f>
        <v>DFW NORTH</v>
      </c>
      <c r="B16" s="4" t="str">
        <f>LEFT(Table13[[#This Row],[Sap: Loaction]],4)</f>
        <v>904E</v>
      </c>
      <c r="C16" s="4" t="str">
        <f>_xlfn.XLOOKUP(Table13[[#This Row],[Employee]],'Location List'!M:M,'Location List'!N:N,"",0)</f>
        <v/>
      </c>
      <c r="D16" t="s">
        <v>973</v>
      </c>
      <c r="E16" t="s">
        <v>746</v>
      </c>
      <c r="F16" t="s">
        <v>525</v>
      </c>
      <c r="G16" s="3">
        <v>1</v>
      </c>
      <c r="H16" s="3">
        <v>120</v>
      </c>
      <c r="I16">
        <v>343.2</v>
      </c>
      <c r="J16" t="s">
        <v>454</v>
      </c>
      <c r="K16" s="6">
        <v>49.12</v>
      </c>
      <c r="L16" s="6">
        <v>35</v>
      </c>
      <c r="M16" s="5">
        <v>1.4034285714285715</v>
      </c>
      <c r="N16" s="3">
        <v>275</v>
      </c>
      <c r="O16" s="10">
        <v>15</v>
      </c>
      <c r="P16" s="10">
        <v>69</v>
      </c>
      <c r="Q16" s="5">
        <v>0.21739130434782608</v>
      </c>
      <c r="R16" s="5">
        <v>0.19</v>
      </c>
      <c r="S16" s="5">
        <v>1.144163</v>
      </c>
      <c r="T16" s="3">
        <v>403</v>
      </c>
      <c r="U16" s="10">
        <v>0</v>
      </c>
      <c r="V16" s="10">
        <v>69</v>
      </c>
      <c r="W16" s="5">
        <v>0</v>
      </c>
      <c r="X16" s="5">
        <v>0.05</v>
      </c>
      <c r="Y16" s="5">
        <v>0</v>
      </c>
      <c r="Z16" s="3">
        <v>994</v>
      </c>
      <c r="AA16" s="11">
        <v>1.636363</v>
      </c>
      <c r="AB16" s="3">
        <v>383</v>
      </c>
      <c r="AC16">
        <v>5</v>
      </c>
      <c r="AD16" s="3">
        <v>62</v>
      </c>
      <c r="AE16">
        <v>1</v>
      </c>
      <c r="AF16">
        <v>11</v>
      </c>
      <c r="AG16" s="5">
        <v>9.0909090909090912E-2</v>
      </c>
      <c r="AH16" s="5">
        <v>0.1</v>
      </c>
      <c r="AI16" s="5">
        <v>0.90908999999999995</v>
      </c>
      <c r="AJ16" s="3">
        <v>515</v>
      </c>
      <c r="AK16" s="5">
        <v>1</v>
      </c>
      <c r="AL16" s="5">
        <v>0.4</v>
      </c>
      <c r="AM16" s="5">
        <v>2.5</v>
      </c>
      <c r="AN16" s="3">
        <v>1</v>
      </c>
      <c r="AO16">
        <v>7</v>
      </c>
      <c r="AP16">
        <v>7</v>
      </c>
      <c r="AQ16" s="5">
        <v>1</v>
      </c>
      <c r="AR16" s="5">
        <v>0.8</v>
      </c>
      <c r="AS16" s="5">
        <v>1.25</v>
      </c>
      <c r="AT16" s="5">
        <v>1</v>
      </c>
    </row>
    <row r="17" spans="1:46" hidden="1">
      <c r="A17" s="4" t="str">
        <f>_xlfn.XLOOKUP(Table13[[#This Row],[SAP]],'Location List'!B:B,'Location List'!G:G)</f>
        <v>SOUTH TX/RGV</v>
      </c>
      <c r="B17" s="4" t="str">
        <f>LEFT(Table13[[#This Row],[Sap: Loaction]],4)</f>
        <v>2584</v>
      </c>
      <c r="C17" s="4" t="str">
        <f>_xlfn.XLOOKUP(Table13[[#This Row],[Employee]],'Location List'!M:M,'Location List'!N:N,"",0)</f>
        <v/>
      </c>
      <c r="D17" t="s">
        <v>973</v>
      </c>
      <c r="E17" t="s">
        <v>638</v>
      </c>
      <c r="F17" t="s">
        <v>498</v>
      </c>
      <c r="G17" s="3">
        <v>1</v>
      </c>
      <c r="H17" s="3">
        <v>125</v>
      </c>
      <c r="I17">
        <v>346.6</v>
      </c>
      <c r="J17" t="s">
        <v>454</v>
      </c>
      <c r="K17" s="6">
        <v>99.7</v>
      </c>
      <c r="L17" s="6">
        <v>40</v>
      </c>
      <c r="M17" s="5">
        <v>2.4925000000000002</v>
      </c>
      <c r="N17" s="3">
        <v>33</v>
      </c>
      <c r="O17" s="10">
        <v>33</v>
      </c>
      <c r="P17" s="10">
        <v>123</v>
      </c>
      <c r="Q17" s="5">
        <v>0.26829268292682928</v>
      </c>
      <c r="R17" s="5">
        <v>0.19</v>
      </c>
      <c r="S17" s="5">
        <v>1.4120630000000001</v>
      </c>
      <c r="T17" s="3">
        <v>231</v>
      </c>
      <c r="U17" s="10">
        <v>2</v>
      </c>
      <c r="V17" s="10">
        <v>123</v>
      </c>
      <c r="W17" s="5">
        <v>1.6260162601626018E-2</v>
      </c>
      <c r="X17" s="5">
        <v>0.05</v>
      </c>
      <c r="Y17" s="5">
        <v>0.32519999999999999</v>
      </c>
      <c r="Z17" s="3">
        <v>771</v>
      </c>
      <c r="AA17" s="11">
        <v>0.86666600000000005</v>
      </c>
      <c r="AB17" s="3">
        <v>903</v>
      </c>
      <c r="AC17">
        <v>10</v>
      </c>
      <c r="AD17" s="3">
        <v>1</v>
      </c>
      <c r="AE17">
        <v>11</v>
      </c>
      <c r="AF17">
        <v>22</v>
      </c>
      <c r="AG17" s="5">
        <v>0.5</v>
      </c>
      <c r="AH17" s="5">
        <v>0.1</v>
      </c>
      <c r="AI17" s="5">
        <v>5</v>
      </c>
      <c r="AJ17" s="3">
        <v>41</v>
      </c>
      <c r="AK17" s="5">
        <v>0.46127933333333332</v>
      </c>
      <c r="AL17" s="5">
        <v>0.4</v>
      </c>
      <c r="AM17" s="5">
        <v>1.153197</v>
      </c>
      <c r="AN17" s="3">
        <v>488</v>
      </c>
      <c r="AO17">
        <v>8</v>
      </c>
      <c r="AP17">
        <v>14</v>
      </c>
      <c r="AQ17" s="5">
        <v>0.5714285714285714</v>
      </c>
      <c r="AR17" s="5">
        <v>0.8</v>
      </c>
      <c r="AS17" s="5">
        <v>0.71428499999999995</v>
      </c>
      <c r="AT17" s="5">
        <v>730</v>
      </c>
    </row>
    <row r="18" spans="1:46" hidden="1">
      <c r="A18" s="4" t="str">
        <f>_xlfn.XLOOKUP(Table13[[#This Row],[SAP]],'Location List'!B:B,'Location List'!G:G)</f>
        <v>SA SOUTH</v>
      </c>
      <c r="B18" s="4" t="str">
        <f>LEFT(Table13[[#This Row],[Sap: Loaction]],4)</f>
        <v>221D</v>
      </c>
      <c r="C18" s="4" t="str">
        <f>_xlfn.XLOOKUP(Table13[[#This Row],[Employee]],'Location List'!M:M,'Location List'!N:N,"",0)</f>
        <v/>
      </c>
      <c r="D18" t="s">
        <v>973</v>
      </c>
      <c r="E18" t="s">
        <v>1000</v>
      </c>
      <c r="F18" t="s">
        <v>521</v>
      </c>
      <c r="G18" s="3">
        <v>1</v>
      </c>
      <c r="H18" s="3">
        <v>126</v>
      </c>
      <c r="I18">
        <v>347.9</v>
      </c>
      <c r="J18" t="s">
        <v>454</v>
      </c>
      <c r="K18" s="6">
        <v>75.37</v>
      </c>
      <c r="L18" s="6">
        <v>40</v>
      </c>
      <c r="M18" s="5">
        <v>1.88425</v>
      </c>
      <c r="N18" s="3">
        <v>108</v>
      </c>
      <c r="O18" s="10">
        <v>23</v>
      </c>
      <c r="P18" s="10">
        <v>75</v>
      </c>
      <c r="Q18" s="5">
        <v>0.30666666666666664</v>
      </c>
      <c r="R18" s="5">
        <v>0.19</v>
      </c>
      <c r="S18" s="5">
        <v>1.614031</v>
      </c>
      <c r="T18" s="3">
        <v>166</v>
      </c>
      <c r="U18" s="10">
        <v>5</v>
      </c>
      <c r="V18" s="10">
        <v>75</v>
      </c>
      <c r="W18" s="5">
        <v>6.6666666666666666E-2</v>
      </c>
      <c r="X18" s="5">
        <v>0.05</v>
      </c>
      <c r="Y18" s="5">
        <v>1.3333200000000001</v>
      </c>
      <c r="Z18" s="3">
        <v>100</v>
      </c>
      <c r="AA18" s="11">
        <v>1.571428</v>
      </c>
      <c r="AB18" s="3">
        <v>407</v>
      </c>
      <c r="AC18">
        <v>10</v>
      </c>
      <c r="AD18" s="3">
        <v>1</v>
      </c>
      <c r="AE18">
        <v>1</v>
      </c>
      <c r="AF18">
        <v>13</v>
      </c>
      <c r="AG18" s="5">
        <v>7.6923076923076927E-2</v>
      </c>
      <c r="AH18" s="5">
        <v>0.1</v>
      </c>
      <c r="AI18" s="5">
        <v>0.76922999999999997</v>
      </c>
      <c r="AJ18" s="3">
        <v>554</v>
      </c>
      <c r="AK18" s="5">
        <v>8.3333333333333329E-2</v>
      </c>
      <c r="AL18" s="5">
        <v>0.4</v>
      </c>
      <c r="AM18" s="5">
        <v>0.20833199999999999</v>
      </c>
      <c r="AN18" s="3">
        <v>1093</v>
      </c>
      <c r="AO18">
        <v>10</v>
      </c>
      <c r="AP18">
        <v>11</v>
      </c>
      <c r="AQ18" s="5">
        <v>0.90909090909090906</v>
      </c>
      <c r="AR18" s="5">
        <v>0.8</v>
      </c>
      <c r="AS18" s="5">
        <v>1.1363620000000001</v>
      </c>
      <c r="AT18" s="5">
        <v>553</v>
      </c>
    </row>
    <row r="19" spans="1:46" hidden="1">
      <c r="A19" s="4" t="str">
        <f>_xlfn.XLOOKUP(Table13[[#This Row],[SAP]],'Location List'!B:B,'Location List'!G:G)</f>
        <v>CENTRAL TEXAS</v>
      </c>
      <c r="B19" s="4" t="str">
        <f>LEFT(Table13[[#This Row],[Sap: Loaction]],4)</f>
        <v>1DSF</v>
      </c>
      <c r="C19" s="4" t="str">
        <f>_xlfn.XLOOKUP(Table13[[#This Row],[Employee]],'Location List'!M:M,'Location List'!N:N,"",0)</f>
        <v/>
      </c>
      <c r="D19" t="s">
        <v>973</v>
      </c>
      <c r="E19" t="s">
        <v>712</v>
      </c>
      <c r="F19" t="s">
        <v>546</v>
      </c>
      <c r="G19" s="3">
        <v>1</v>
      </c>
      <c r="H19" s="3">
        <v>128</v>
      </c>
      <c r="I19">
        <v>349.65</v>
      </c>
      <c r="J19" t="s">
        <v>454</v>
      </c>
      <c r="K19" s="6">
        <v>18.989999999999998</v>
      </c>
      <c r="L19" s="6">
        <v>34.999999999999993</v>
      </c>
      <c r="M19" s="5">
        <v>0.54257142857142859</v>
      </c>
      <c r="N19" s="3">
        <v>822</v>
      </c>
      <c r="O19" s="10">
        <v>10</v>
      </c>
      <c r="P19" s="10">
        <v>66</v>
      </c>
      <c r="Q19" s="5">
        <v>0.15151515151515152</v>
      </c>
      <c r="R19" s="5">
        <v>0.19</v>
      </c>
      <c r="S19" s="5">
        <v>0.79744700000000002</v>
      </c>
      <c r="T19" s="3">
        <v>681</v>
      </c>
      <c r="U19" s="10">
        <v>5</v>
      </c>
      <c r="V19" s="10">
        <v>66</v>
      </c>
      <c r="W19" s="5">
        <v>7.575757575757576E-2</v>
      </c>
      <c r="X19" s="5">
        <v>0.05</v>
      </c>
      <c r="Y19" s="5">
        <v>1.5151399999999999</v>
      </c>
      <c r="Z19" s="3">
        <v>69</v>
      </c>
      <c r="AA19" s="11">
        <v>1.636363</v>
      </c>
      <c r="AB19" s="3">
        <v>383</v>
      </c>
      <c r="AC19">
        <v>5</v>
      </c>
      <c r="AD19" s="3">
        <v>62</v>
      </c>
      <c r="AE19">
        <v>1</v>
      </c>
      <c r="AF19">
        <v>3</v>
      </c>
      <c r="AG19" s="5">
        <v>0.33333333333333331</v>
      </c>
      <c r="AH19" s="5">
        <v>0.1</v>
      </c>
      <c r="AI19" s="5">
        <v>3.3333300000000001</v>
      </c>
      <c r="AJ19" s="3">
        <v>113</v>
      </c>
      <c r="AK19" s="5">
        <v>0.65</v>
      </c>
      <c r="AL19" s="5">
        <v>0.4</v>
      </c>
      <c r="AM19" s="5">
        <v>1.625</v>
      </c>
      <c r="AN19" s="3">
        <v>217</v>
      </c>
      <c r="AO19">
        <v>4</v>
      </c>
      <c r="AP19">
        <v>4</v>
      </c>
      <c r="AQ19" s="5">
        <v>1</v>
      </c>
      <c r="AR19" s="5">
        <v>0.8</v>
      </c>
      <c r="AS19" s="5">
        <v>1.25</v>
      </c>
      <c r="AT19" s="5">
        <v>1</v>
      </c>
    </row>
    <row r="20" spans="1:46" hidden="1">
      <c r="A20" s="4" t="str">
        <f>_xlfn.XLOOKUP(Table13[[#This Row],[SAP]],'Location List'!B:B,'Location List'!G:G)</f>
        <v>SA SOUTH</v>
      </c>
      <c r="B20" s="4" t="str">
        <f>LEFT(Table13[[#This Row],[Sap: Loaction]],4)</f>
        <v>1627</v>
      </c>
      <c r="C20" s="4" t="str">
        <f>_xlfn.XLOOKUP(Table13[[#This Row],[Employee]],'Location List'!M:M,'Location List'!N:N,"",0)</f>
        <v/>
      </c>
      <c r="D20" t="s">
        <v>973</v>
      </c>
      <c r="E20" t="s">
        <v>633</v>
      </c>
      <c r="F20" t="s">
        <v>497</v>
      </c>
      <c r="G20" s="3">
        <v>1</v>
      </c>
      <c r="H20" s="3">
        <v>140</v>
      </c>
      <c r="I20">
        <v>358.75</v>
      </c>
      <c r="J20" t="s">
        <v>454</v>
      </c>
      <c r="K20" s="6">
        <v>32.6</v>
      </c>
      <c r="L20" s="6">
        <v>40.000000000000007</v>
      </c>
      <c r="M20" s="5">
        <v>0.81499999999999995</v>
      </c>
      <c r="N20" s="3">
        <v>632</v>
      </c>
      <c r="O20" s="10">
        <v>23</v>
      </c>
      <c r="P20" s="10">
        <v>101</v>
      </c>
      <c r="Q20" s="5">
        <v>0.22772277227722773</v>
      </c>
      <c r="R20" s="5">
        <v>0.19</v>
      </c>
      <c r="S20" s="5">
        <v>1.198536</v>
      </c>
      <c r="T20" s="3">
        <v>362</v>
      </c>
      <c r="U20" s="10">
        <v>4</v>
      </c>
      <c r="V20" s="10">
        <v>101</v>
      </c>
      <c r="W20" s="5">
        <v>3.9603960396039604E-2</v>
      </c>
      <c r="X20" s="5">
        <v>0.05</v>
      </c>
      <c r="Y20" s="5">
        <v>0.79205999999999999</v>
      </c>
      <c r="Z20" s="3">
        <v>332</v>
      </c>
      <c r="AA20" s="11">
        <v>1.05</v>
      </c>
      <c r="AB20" s="3">
        <v>740</v>
      </c>
      <c r="AC20">
        <v>7.5</v>
      </c>
      <c r="AD20" s="3">
        <v>43</v>
      </c>
      <c r="AE20">
        <v>2</v>
      </c>
      <c r="AF20">
        <v>6</v>
      </c>
      <c r="AG20" s="5">
        <v>0.33333333333333331</v>
      </c>
      <c r="AH20" s="5">
        <v>0.1</v>
      </c>
      <c r="AI20" s="5">
        <v>3.3333300000000001</v>
      </c>
      <c r="AJ20" s="3">
        <v>113</v>
      </c>
      <c r="AK20" s="5">
        <v>0.34259233333333333</v>
      </c>
      <c r="AL20" s="5">
        <v>0.4</v>
      </c>
      <c r="AM20" s="5">
        <v>0.85648000000000002</v>
      </c>
      <c r="AN20" s="3">
        <v>630</v>
      </c>
      <c r="AO20">
        <v>5</v>
      </c>
      <c r="AP20">
        <v>5</v>
      </c>
      <c r="AQ20" s="5">
        <v>1</v>
      </c>
      <c r="AR20" s="5">
        <v>0.8</v>
      </c>
      <c r="AS20" s="5">
        <v>1.25</v>
      </c>
      <c r="AT20" s="5">
        <v>1</v>
      </c>
    </row>
    <row r="21" spans="1:46" hidden="1">
      <c r="A21" s="4" t="str">
        <f>_xlfn.XLOOKUP(Table13[[#This Row],[SAP]],'Location List'!B:B,'Location List'!G:G)</f>
        <v>SA SOUTH</v>
      </c>
      <c r="B21" s="4" t="str">
        <f>LEFT(Table13[[#This Row],[Sap: Loaction]],4)</f>
        <v>2074</v>
      </c>
      <c r="C21" s="4" t="str">
        <f>_xlfn.XLOOKUP(Table13[[#This Row],[Employee]],'Location List'!M:M,'Location List'!N:N,"",0)</f>
        <v/>
      </c>
      <c r="D21" t="s">
        <v>973</v>
      </c>
      <c r="E21" t="s">
        <v>634</v>
      </c>
      <c r="F21" t="s">
        <v>512</v>
      </c>
      <c r="G21" s="3">
        <v>1</v>
      </c>
      <c r="H21" s="3">
        <v>144</v>
      </c>
      <c r="I21">
        <v>361.55</v>
      </c>
      <c r="J21" t="s">
        <v>454</v>
      </c>
      <c r="K21" s="6">
        <v>65.47</v>
      </c>
      <c r="L21" s="6">
        <v>40</v>
      </c>
      <c r="M21" s="5">
        <v>1.6367499999999999</v>
      </c>
      <c r="N21" s="3">
        <v>173</v>
      </c>
      <c r="O21" s="10">
        <v>14</v>
      </c>
      <c r="P21" s="10">
        <v>117</v>
      </c>
      <c r="Q21" s="5">
        <v>0.11965811965811966</v>
      </c>
      <c r="R21" s="5">
        <v>0.19</v>
      </c>
      <c r="S21" s="5">
        <v>0.62977799999999995</v>
      </c>
      <c r="T21" s="3">
        <v>862</v>
      </c>
      <c r="U21" s="10">
        <v>3</v>
      </c>
      <c r="V21" s="10">
        <v>117</v>
      </c>
      <c r="W21" s="5">
        <v>2.564102564102564E-2</v>
      </c>
      <c r="X21" s="5">
        <v>0.05</v>
      </c>
      <c r="Y21" s="5">
        <v>0.51282000000000005</v>
      </c>
      <c r="Z21" s="3">
        <v>522</v>
      </c>
      <c r="AA21" s="11">
        <v>1.4</v>
      </c>
      <c r="AB21" s="3">
        <v>509</v>
      </c>
      <c r="AC21">
        <v>10</v>
      </c>
      <c r="AD21" s="3">
        <v>1</v>
      </c>
      <c r="AE21">
        <v>6</v>
      </c>
      <c r="AF21">
        <v>22</v>
      </c>
      <c r="AG21" s="5">
        <v>0.27272727272727271</v>
      </c>
      <c r="AH21" s="5">
        <v>0.1</v>
      </c>
      <c r="AI21" s="5">
        <v>2.7272699999999999</v>
      </c>
      <c r="AJ21" s="3">
        <v>182</v>
      </c>
      <c r="AK21" s="5">
        <v>0.5</v>
      </c>
      <c r="AL21" s="5">
        <v>0.4</v>
      </c>
      <c r="AM21" s="5">
        <v>1.25</v>
      </c>
      <c r="AN21" s="3">
        <v>326</v>
      </c>
      <c r="AO21">
        <v>1</v>
      </c>
      <c r="AP21">
        <v>1</v>
      </c>
      <c r="AQ21" s="5">
        <v>1</v>
      </c>
      <c r="AR21" s="5">
        <v>0.8</v>
      </c>
      <c r="AS21" s="5">
        <v>1.25</v>
      </c>
      <c r="AT21" s="5">
        <v>1</v>
      </c>
    </row>
    <row r="22" spans="1:46" hidden="1">
      <c r="A22" s="4" t="str">
        <f>_xlfn.XLOOKUP(Table13[[#This Row],[SAP]],'Location List'!B:B,'Location List'!G:G)</f>
        <v>KS/OK</v>
      </c>
      <c r="B22" s="4" t="str">
        <f>LEFT(Table13[[#This Row],[Sap: Loaction]],4)</f>
        <v>990F</v>
      </c>
      <c r="C22" s="4" t="str">
        <f>_xlfn.XLOOKUP(Table13[[#This Row],[Employee]],'Location List'!M:M,'Location List'!N:N,"",0)</f>
        <v/>
      </c>
      <c r="D22" t="s">
        <v>973</v>
      </c>
      <c r="E22" t="s">
        <v>676</v>
      </c>
      <c r="F22" t="s">
        <v>522</v>
      </c>
      <c r="G22" s="3">
        <v>1</v>
      </c>
      <c r="H22" s="3">
        <v>146</v>
      </c>
      <c r="I22">
        <v>361.65</v>
      </c>
      <c r="J22" t="s">
        <v>454</v>
      </c>
      <c r="K22" s="6">
        <v>46.93</v>
      </c>
      <c r="L22" s="6">
        <v>40</v>
      </c>
      <c r="M22" s="5">
        <v>1.1732499999999999</v>
      </c>
      <c r="N22" s="3">
        <v>387</v>
      </c>
      <c r="O22" s="10">
        <v>41</v>
      </c>
      <c r="P22" s="10">
        <v>120</v>
      </c>
      <c r="Q22" s="5">
        <v>0.34166666666666667</v>
      </c>
      <c r="R22" s="5">
        <v>0.19</v>
      </c>
      <c r="S22" s="5">
        <v>1.7982419999999999</v>
      </c>
      <c r="T22" s="3">
        <v>117</v>
      </c>
      <c r="U22" s="10">
        <v>0</v>
      </c>
      <c r="V22" s="10">
        <v>120</v>
      </c>
      <c r="W22" s="5">
        <v>0</v>
      </c>
      <c r="X22" s="5">
        <v>0.05</v>
      </c>
      <c r="Y22" s="5">
        <v>0</v>
      </c>
      <c r="Z22" s="3">
        <v>994</v>
      </c>
      <c r="AA22" s="11">
        <v>1.411764</v>
      </c>
      <c r="AB22" s="3">
        <v>508</v>
      </c>
      <c r="AC22">
        <v>0</v>
      </c>
      <c r="AD22" s="3">
        <v>75</v>
      </c>
      <c r="AE22">
        <v>3</v>
      </c>
      <c r="AF22">
        <v>17</v>
      </c>
      <c r="AG22" s="5">
        <v>0.17647058823529413</v>
      </c>
      <c r="AH22" s="5">
        <v>0.1</v>
      </c>
      <c r="AI22" s="5">
        <v>1.7646999999999999</v>
      </c>
      <c r="AJ22" s="3">
        <v>314</v>
      </c>
      <c r="AK22" s="5">
        <v>0.3</v>
      </c>
      <c r="AL22" s="5">
        <v>0.4</v>
      </c>
      <c r="AM22" s="5">
        <v>0.75</v>
      </c>
      <c r="AN22" s="3">
        <v>753</v>
      </c>
      <c r="AO22">
        <v>4</v>
      </c>
      <c r="AP22">
        <v>4</v>
      </c>
      <c r="AQ22" s="5">
        <v>1</v>
      </c>
      <c r="AR22" s="5">
        <v>0.8</v>
      </c>
      <c r="AS22" s="5">
        <v>1.25</v>
      </c>
      <c r="AT22" s="5">
        <v>1</v>
      </c>
    </row>
    <row r="23" spans="1:46" hidden="1">
      <c r="A23" s="4" t="str">
        <f>_xlfn.XLOOKUP(Table13[[#This Row],[SAP]],'Location List'!B:B,'Location List'!G:G)</f>
        <v>KS/OK</v>
      </c>
      <c r="B23" s="4" t="str">
        <f>LEFT(Table13[[#This Row],[Sap: Loaction]],4)</f>
        <v>990F</v>
      </c>
      <c r="C23" s="4" t="str">
        <f>_xlfn.XLOOKUP(Table13[[#This Row],[Employee]],'Location List'!M:M,'Location List'!N:N,"",0)</f>
        <v/>
      </c>
      <c r="D23" t="s">
        <v>973</v>
      </c>
      <c r="E23" t="s">
        <v>612</v>
      </c>
      <c r="F23" t="s">
        <v>522</v>
      </c>
      <c r="G23" s="3">
        <v>1</v>
      </c>
      <c r="H23" s="3">
        <v>148</v>
      </c>
      <c r="I23">
        <v>362.55</v>
      </c>
      <c r="J23" t="s">
        <v>454</v>
      </c>
      <c r="K23" s="6">
        <v>41.14</v>
      </c>
      <c r="L23" s="6">
        <v>40</v>
      </c>
      <c r="M23" s="5">
        <v>1.0285</v>
      </c>
      <c r="N23" s="3">
        <v>471</v>
      </c>
      <c r="O23" s="10">
        <v>32</v>
      </c>
      <c r="P23" s="10">
        <v>106</v>
      </c>
      <c r="Q23" s="5">
        <v>0.30188679245283018</v>
      </c>
      <c r="R23" s="5">
        <v>0.19</v>
      </c>
      <c r="S23" s="5">
        <v>1.588873</v>
      </c>
      <c r="T23" s="3">
        <v>175</v>
      </c>
      <c r="U23" s="10">
        <v>1</v>
      </c>
      <c r="V23" s="10">
        <v>106</v>
      </c>
      <c r="W23" s="5">
        <v>9.433962264150943E-3</v>
      </c>
      <c r="X23" s="5">
        <v>0.05</v>
      </c>
      <c r="Y23" s="5">
        <v>0.18865999999999999</v>
      </c>
      <c r="Z23" s="3">
        <v>943</v>
      </c>
      <c r="AA23" s="11">
        <v>1</v>
      </c>
      <c r="AB23" s="3">
        <v>741</v>
      </c>
      <c r="AC23">
        <v>9.3333329999999997</v>
      </c>
      <c r="AD23" s="3">
        <v>16</v>
      </c>
      <c r="AE23">
        <v>2</v>
      </c>
      <c r="AF23">
        <v>14</v>
      </c>
      <c r="AG23" s="5">
        <v>0.14285714285714285</v>
      </c>
      <c r="AH23" s="5">
        <v>0.1</v>
      </c>
      <c r="AI23" s="5">
        <v>1.4285699999999999</v>
      </c>
      <c r="AJ23" s="3">
        <v>368</v>
      </c>
      <c r="AK23" s="5">
        <v>0.52380933333333335</v>
      </c>
      <c r="AL23" s="5">
        <v>0.4</v>
      </c>
      <c r="AM23" s="5">
        <v>1.3095220000000001</v>
      </c>
      <c r="AN23" s="3">
        <v>316</v>
      </c>
      <c r="AO23">
        <v>6</v>
      </c>
      <c r="AP23">
        <v>6</v>
      </c>
      <c r="AQ23" s="5">
        <v>1</v>
      </c>
      <c r="AR23" s="5">
        <v>0.8</v>
      </c>
      <c r="AS23" s="5">
        <v>1.25</v>
      </c>
      <c r="AT23" s="5">
        <v>1</v>
      </c>
    </row>
    <row r="24" spans="1:46" hidden="1">
      <c r="A24" s="4" t="str">
        <f>_xlfn.XLOOKUP(Table13[[#This Row],[SAP]],'Location List'!B:B,'Location List'!G:G)</f>
        <v>DFW NORTH</v>
      </c>
      <c r="B24" s="4" t="str">
        <f>LEFT(Table13[[#This Row],[Sap: Loaction]],4)</f>
        <v>904E</v>
      </c>
      <c r="C24" s="4" t="str">
        <f>_xlfn.XLOOKUP(Table13[[#This Row],[Employee]],'Location List'!M:M,'Location List'!N:N,"",0)</f>
        <v/>
      </c>
      <c r="D24" t="s">
        <v>973</v>
      </c>
      <c r="E24" t="s">
        <v>808</v>
      </c>
      <c r="F24" t="s">
        <v>525</v>
      </c>
      <c r="G24" s="3">
        <v>1</v>
      </c>
      <c r="H24" s="3">
        <v>156</v>
      </c>
      <c r="I24">
        <v>367.15</v>
      </c>
      <c r="J24" t="s">
        <v>454</v>
      </c>
      <c r="K24" s="6">
        <v>66.42</v>
      </c>
      <c r="L24" s="6">
        <v>35</v>
      </c>
      <c r="M24" s="5">
        <v>1.8977142857142857</v>
      </c>
      <c r="N24" s="3">
        <v>105</v>
      </c>
      <c r="O24" s="10">
        <v>14</v>
      </c>
      <c r="P24" s="10">
        <v>50</v>
      </c>
      <c r="Q24" s="5">
        <v>0.28000000000000003</v>
      </c>
      <c r="R24" s="5">
        <v>0.19</v>
      </c>
      <c r="S24" s="5">
        <v>1.473684</v>
      </c>
      <c r="T24" s="3">
        <v>219</v>
      </c>
      <c r="U24" s="10">
        <v>2</v>
      </c>
      <c r="V24" s="10">
        <v>50</v>
      </c>
      <c r="W24" s="5">
        <v>0.04</v>
      </c>
      <c r="X24" s="5">
        <v>0.05</v>
      </c>
      <c r="Y24" s="5">
        <v>0.8</v>
      </c>
      <c r="Z24" s="3">
        <v>324</v>
      </c>
      <c r="AA24" s="11">
        <v>1.4</v>
      </c>
      <c r="AB24" s="3">
        <v>509</v>
      </c>
      <c r="AC24">
        <v>6.6666660000000002</v>
      </c>
      <c r="AD24" s="3">
        <v>48</v>
      </c>
      <c r="AE24">
        <v>0</v>
      </c>
      <c r="AF24">
        <v>8</v>
      </c>
      <c r="AG24" s="5">
        <v>0</v>
      </c>
      <c r="AH24" s="5">
        <v>0.1</v>
      </c>
      <c r="AI24" s="5">
        <v>0</v>
      </c>
      <c r="AJ24" s="3">
        <v>696</v>
      </c>
      <c r="AK24" s="5">
        <v>0</v>
      </c>
      <c r="AL24" s="5">
        <v>0.4</v>
      </c>
      <c r="AM24" s="5">
        <v>0</v>
      </c>
      <c r="AN24" s="3">
        <v>1150</v>
      </c>
      <c r="AO24">
        <v>5</v>
      </c>
      <c r="AP24">
        <v>5</v>
      </c>
      <c r="AQ24" s="5">
        <v>1</v>
      </c>
      <c r="AR24" s="5">
        <v>0.8</v>
      </c>
      <c r="AS24" s="5">
        <v>1.25</v>
      </c>
      <c r="AT24" s="5">
        <v>1</v>
      </c>
    </row>
    <row r="25" spans="1:46" hidden="1">
      <c r="A25" s="4" t="str">
        <f>_xlfn.XLOOKUP(Table13[[#This Row],[SAP]],'Location List'!B:B,'Location List'!G:G)</f>
        <v>KS/OK</v>
      </c>
      <c r="B25" s="4" t="str">
        <f>LEFT(Table13[[#This Row],[Sap: Loaction]],4)</f>
        <v>4DSC</v>
      </c>
      <c r="C25" s="4" t="str">
        <f>_xlfn.XLOOKUP(Table13[[#This Row],[Employee]],'Location List'!M:M,'Location List'!N:N,"",0)</f>
        <v/>
      </c>
      <c r="D25" t="s">
        <v>973</v>
      </c>
      <c r="E25" t="s">
        <v>651</v>
      </c>
      <c r="F25" t="s">
        <v>528</v>
      </c>
      <c r="G25" s="3">
        <v>1</v>
      </c>
      <c r="H25" s="3">
        <v>157</v>
      </c>
      <c r="I25">
        <v>367.3</v>
      </c>
      <c r="J25" t="s">
        <v>454</v>
      </c>
      <c r="K25" s="6">
        <v>77.87</v>
      </c>
      <c r="L25" s="6">
        <v>35.000000000000007</v>
      </c>
      <c r="M25" s="5">
        <v>2.2248571428571426</v>
      </c>
      <c r="N25" s="3">
        <v>62</v>
      </c>
      <c r="O25" s="10">
        <v>25</v>
      </c>
      <c r="P25" s="10">
        <v>104</v>
      </c>
      <c r="Q25" s="5">
        <v>0.24038461538461539</v>
      </c>
      <c r="R25" s="5">
        <v>0.19</v>
      </c>
      <c r="S25" s="5">
        <v>1.2651779999999999</v>
      </c>
      <c r="T25" s="3">
        <v>308</v>
      </c>
      <c r="U25" s="10">
        <v>2</v>
      </c>
      <c r="V25" s="10">
        <v>104</v>
      </c>
      <c r="W25" s="5">
        <v>1.9230769230769232E-2</v>
      </c>
      <c r="X25" s="5">
        <v>0.05</v>
      </c>
      <c r="Y25" s="5">
        <v>0.3846</v>
      </c>
      <c r="Z25" s="3">
        <v>680</v>
      </c>
      <c r="AA25" s="11">
        <v>1.416666</v>
      </c>
      <c r="AB25" s="3">
        <v>503</v>
      </c>
      <c r="AC25">
        <v>10</v>
      </c>
      <c r="AD25" s="3">
        <v>1</v>
      </c>
      <c r="AE25">
        <v>0</v>
      </c>
      <c r="AF25">
        <v>19</v>
      </c>
      <c r="AG25" s="5">
        <v>0</v>
      </c>
      <c r="AH25" s="5">
        <v>0.1</v>
      </c>
      <c r="AI25" s="5">
        <v>0</v>
      </c>
      <c r="AJ25" s="3">
        <v>696</v>
      </c>
      <c r="AK25" s="5">
        <v>0.32142850000000001</v>
      </c>
      <c r="AL25" s="5">
        <v>0.4</v>
      </c>
      <c r="AM25" s="5">
        <v>0.80357000000000001</v>
      </c>
      <c r="AN25" s="3">
        <v>735</v>
      </c>
      <c r="AO25">
        <v>3</v>
      </c>
      <c r="AP25">
        <v>3</v>
      </c>
      <c r="AQ25" s="5">
        <v>1</v>
      </c>
      <c r="AR25" s="5">
        <v>0.8</v>
      </c>
      <c r="AS25" s="5">
        <v>1.25</v>
      </c>
      <c r="AT25" s="5">
        <v>1</v>
      </c>
    </row>
    <row r="26" spans="1:46" hidden="1">
      <c r="A26" s="4" t="str">
        <f>_xlfn.XLOOKUP(Table13[[#This Row],[SAP]],'Location List'!B:B,'Location List'!G:G)</f>
        <v>SA SOUTH</v>
      </c>
      <c r="B26" s="4" t="str">
        <f>LEFT(Table13[[#This Row],[Sap: Loaction]],4)</f>
        <v>1627</v>
      </c>
      <c r="C26" s="4" t="str">
        <f>_xlfn.XLOOKUP(Table13[[#This Row],[Employee]],'Location List'!M:M,'Location List'!N:N,"",0)</f>
        <v/>
      </c>
      <c r="D26" t="s">
        <v>973</v>
      </c>
      <c r="E26" t="s">
        <v>626</v>
      </c>
      <c r="F26" t="s">
        <v>497</v>
      </c>
      <c r="G26" s="3">
        <v>1</v>
      </c>
      <c r="H26" s="3">
        <v>160</v>
      </c>
      <c r="I26">
        <v>371.25</v>
      </c>
      <c r="J26" t="s">
        <v>454</v>
      </c>
      <c r="K26" s="6">
        <v>31.41</v>
      </c>
      <c r="L26" s="6">
        <v>40</v>
      </c>
      <c r="M26" s="5">
        <v>0.78525</v>
      </c>
      <c r="N26" s="3">
        <v>655</v>
      </c>
      <c r="O26" s="10">
        <v>11</v>
      </c>
      <c r="P26" s="10">
        <v>46</v>
      </c>
      <c r="Q26" s="5">
        <v>0.2391304347826087</v>
      </c>
      <c r="R26" s="5">
        <v>0.19</v>
      </c>
      <c r="S26" s="5">
        <v>1.258578</v>
      </c>
      <c r="T26" s="3">
        <v>311</v>
      </c>
      <c r="U26" s="10">
        <v>1</v>
      </c>
      <c r="V26" s="10">
        <v>46</v>
      </c>
      <c r="W26" s="5">
        <v>2.1739130434782608E-2</v>
      </c>
      <c r="X26" s="5">
        <v>0.05</v>
      </c>
      <c r="Y26" s="5">
        <v>0.43478</v>
      </c>
      <c r="Z26" s="3">
        <v>610</v>
      </c>
      <c r="AA26" s="11">
        <v>2</v>
      </c>
      <c r="AB26" s="3">
        <v>210</v>
      </c>
      <c r="AC26">
        <v>10</v>
      </c>
      <c r="AD26" s="3">
        <v>1</v>
      </c>
      <c r="AE26">
        <v>0</v>
      </c>
      <c r="AF26">
        <v>9</v>
      </c>
      <c r="AG26" s="5">
        <v>0</v>
      </c>
      <c r="AH26" s="5">
        <v>0.1</v>
      </c>
      <c r="AI26" s="5">
        <v>0</v>
      </c>
      <c r="AJ26" s="3">
        <v>696</v>
      </c>
      <c r="AK26" s="5">
        <v>0.6</v>
      </c>
      <c r="AL26" s="5">
        <v>0.4</v>
      </c>
      <c r="AM26" s="5">
        <v>1.5</v>
      </c>
      <c r="AN26" s="3">
        <v>242</v>
      </c>
      <c r="AO26">
        <v>3</v>
      </c>
      <c r="AP26">
        <v>3</v>
      </c>
      <c r="AQ26" s="5">
        <v>1</v>
      </c>
      <c r="AR26" s="5">
        <v>0.8</v>
      </c>
      <c r="AS26" s="5">
        <v>1.25</v>
      </c>
      <c r="AT26" s="5">
        <v>1</v>
      </c>
    </row>
    <row r="27" spans="1:46" hidden="1">
      <c r="A27" s="4" t="str">
        <f>_xlfn.XLOOKUP(Table13[[#This Row],[SAP]],'Location List'!B:B,'Location List'!G:G)</f>
        <v>MO/IA/NE</v>
      </c>
      <c r="B27" s="4" t="str">
        <f>LEFT(Table13[[#This Row],[Sap: Loaction]],4)</f>
        <v>3ISR</v>
      </c>
      <c r="C27" s="4" t="str">
        <f>_xlfn.XLOOKUP(Table13[[#This Row],[Employee]],'Location List'!M:M,'Location List'!N:N,"",0)</f>
        <v/>
      </c>
      <c r="D27" t="s">
        <v>973</v>
      </c>
      <c r="E27" t="s">
        <v>701</v>
      </c>
      <c r="F27" t="s">
        <v>493</v>
      </c>
      <c r="G27" s="3">
        <v>1</v>
      </c>
      <c r="H27" s="3">
        <v>161</v>
      </c>
      <c r="I27">
        <v>371.8</v>
      </c>
      <c r="J27" t="s">
        <v>454</v>
      </c>
      <c r="K27" s="6">
        <v>86.27</v>
      </c>
      <c r="L27" s="6">
        <v>39.999999999999993</v>
      </c>
      <c r="M27" s="5">
        <v>2.1567500000000002</v>
      </c>
      <c r="N27" s="3">
        <v>69</v>
      </c>
      <c r="O27" s="10">
        <v>43</v>
      </c>
      <c r="P27" s="10">
        <v>153</v>
      </c>
      <c r="Q27" s="5">
        <v>0.28104575163398693</v>
      </c>
      <c r="R27" s="5">
        <v>0.19</v>
      </c>
      <c r="S27" s="5">
        <v>1.4791840000000001</v>
      </c>
      <c r="T27" s="3">
        <v>217</v>
      </c>
      <c r="U27" s="10">
        <v>1</v>
      </c>
      <c r="V27" s="10">
        <v>153</v>
      </c>
      <c r="W27" s="5">
        <v>6.5359477124183009E-3</v>
      </c>
      <c r="X27" s="5">
        <v>0.05</v>
      </c>
      <c r="Y27" s="5">
        <v>0.13070000000000001</v>
      </c>
      <c r="Z27" s="3">
        <v>985</v>
      </c>
      <c r="AA27" s="11">
        <v>1.125</v>
      </c>
      <c r="AB27" s="3">
        <v>696</v>
      </c>
      <c r="AC27">
        <v>5</v>
      </c>
      <c r="AD27" s="3">
        <v>62</v>
      </c>
      <c r="AE27">
        <v>2</v>
      </c>
      <c r="AF27">
        <v>30</v>
      </c>
      <c r="AG27" s="5">
        <v>6.6666666666666666E-2</v>
      </c>
      <c r="AH27" s="5">
        <v>0.1</v>
      </c>
      <c r="AI27" s="5">
        <v>0.66666000000000003</v>
      </c>
      <c r="AJ27" s="3">
        <v>591</v>
      </c>
      <c r="AK27" s="5">
        <v>0.4</v>
      </c>
      <c r="AL27" s="5">
        <v>0.4</v>
      </c>
      <c r="AM27" s="5">
        <v>1</v>
      </c>
      <c r="AN27" s="3">
        <v>550</v>
      </c>
      <c r="AO27">
        <v>1</v>
      </c>
      <c r="AP27">
        <v>1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MO/IA/NE</v>
      </c>
      <c r="B28" s="4" t="str">
        <f>LEFT(Table13[[#This Row],[Sap: Loaction]],4)</f>
        <v>4ASM</v>
      </c>
      <c r="C28" s="4" t="str">
        <f>_xlfn.XLOOKUP(Table13[[#This Row],[Employee]],'Location List'!M:M,'Location List'!N:N,"",0)</f>
        <v/>
      </c>
      <c r="D28" t="s">
        <v>973</v>
      </c>
      <c r="E28" t="s">
        <v>623</v>
      </c>
      <c r="F28" t="s">
        <v>492</v>
      </c>
      <c r="G28" s="3">
        <v>1</v>
      </c>
      <c r="H28" s="3">
        <v>167</v>
      </c>
      <c r="I28">
        <v>374.65</v>
      </c>
      <c r="J28" t="s">
        <v>454</v>
      </c>
      <c r="K28" s="6">
        <v>81.349999999999994</v>
      </c>
      <c r="L28" s="6">
        <v>40</v>
      </c>
      <c r="M28" s="5">
        <v>2.0337499999999999</v>
      </c>
      <c r="N28" s="3">
        <v>87</v>
      </c>
      <c r="O28" s="10">
        <v>29</v>
      </c>
      <c r="P28" s="10">
        <v>99</v>
      </c>
      <c r="Q28" s="5">
        <v>0.29292929292929293</v>
      </c>
      <c r="R28" s="5">
        <v>0.19</v>
      </c>
      <c r="S28" s="5">
        <v>1.541731</v>
      </c>
      <c r="T28" s="3">
        <v>193</v>
      </c>
      <c r="U28" s="10">
        <v>6</v>
      </c>
      <c r="V28" s="10">
        <v>99</v>
      </c>
      <c r="W28" s="5">
        <v>6.0606060606060608E-2</v>
      </c>
      <c r="X28" s="5">
        <v>0.05</v>
      </c>
      <c r="Y28" s="5">
        <v>1.2121200000000001</v>
      </c>
      <c r="Z28" s="3">
        <v>129</v>
      </c>
      <c r="AA28" s="11">
        <v>0.85714199999999996</v>
      </c>
      <c r="AB28" s="3">
        <v>905</v>
      </c>
      <c r="AC28">
        <v>10</v>
      </c>
      <c r="AD28" s="3">
        <v>1</v>
      </c>
      <c r="AE28">
        <v>0</v>
      </c>
      <c r="AF28">
        <v>24</v>
      </c>
      <c r="AG28" s="5">
        <v>0</v>
      </c>
      <c r="AH28" s="5">
        <v>0.1</v>
      </c>
      <c r="AI28" s="5">
        <v>0</v>
      </c>
      <c r="AJ28" s="3">
        <v>696</v>
      </c>
      <c r="AK28" s="5">
        <v>0</v>
      </c>
      <c r="AL28" s="5">
        <v>0.4</v>
      </c>
      <c r="AM28" s="5">
        <v>0</v>
      </c>
      <c r="AN28" s="3">
        <v>1150</v>
      </c>
      <c r="AO28">
        <v>4</v>
      </c>
      <c r="AP28">
        <v>4</v>
      </c>
      <c r="AQ28" s="5">
        <v>1</v>
      </c>
      <c r="AR28" s="5">
        <v>0.8</v>
      </c>
      <c r="AS28" s="5">
        <v>1.25</v>
      </c>
      <c r="AT28" s="5">
        <v>1</v>
      </c>
    </row>
    <row r="29" spans="1:46" hidden="1">
      <c r="A29" s="4" t="str">
        <f>_xlfn.XLOOKUP(Table13[[#This Row],[SAP]],'Location List'!B:B,'Location List'!G:G)</f>
        <v>CENTRAL TEXAS</v>
      </c>
      <c r="B29" s="4" t="str">
        <f>LEFT(Table13[[#This Row],[Sap: Loaction]],4)</f>
        <v>1DSF</v>
      </c>
      <c r="C29" s="4" t="str">
        <f>_xlfn.XLOOKUP(Table13[[#This Row],[Employee]],'Location List'!M:M,'Location List'!N:N,"",0)</f>
        <v>RSM</v>
      </c>
      <c r="D29" t="s">
        <v>973</v>
      </c>
      <c r="E29" t="s">
        <v>954</v>
      </c>
      <c r="F29" t="s">
        <v>546</v>
      </c>
      <c r="G29" s="3">
        <v>1</v>
      </c>
      <c r="H29" s="3">
        <v>169</v>
      </c>
      <c r="I29">
        <v>375.2</v>
      </c>
      <c r="J29" t="s">
        <v>454</v>
      </c>
      <c r="K29" s="6">
        <v>20.95</v>
      </c>
      <c r="L29" s="6">
        <v>35</v>
      </c>
      <c r="M29" s="5">
        <v>0.59857142857142853</v>
      </c>
      <c r="N29" s="3">
        <v>786</v>
      </c>
      <c r="O29" s="10">
        <v>4</v>
      </c>
      <c r="P29" s="10">
        <v>25</v>
      </c>
      <c r="Q29" s="5">
        <v>0.16</v>
      </c>
      <c r="R29" s="5">
        <v>0.19</v>
      </c>
      <c r="S29" s="5">
        <v>0.84210499999999999</v>
      </c>
      <c r="T29" s="3">
        <v>640</v>
      </c>
      <c r="U29" s="10">
        <v>2</v>
      </c>
      <c r="V29" s="10">
        <v>25</v>
      </c>
      <c r="W29" s="5">
        <v>0.08</v>
      </c>
      <c r="X29" s="5">
        <v>0.05</v>
      </c>
      <c r="Y29" s="5">
        <v>1.6</v>
      </c>
      <c r="Z29" s="3">
        <v>58</v>
      </c>
      <c r="AA29" s="11">
        <v>1.25</v>
      </c>
      <c r="AB29" s="3">
        <v>606</v>
      </c>
      <c r="AC29">
        <v>0</v>
      </c>
      <c r="AD29" s="3">
        <v>75</v>
      </c>
      <c r="AE29">
        <v>1</v>
      </c>
      <c r="AF29">
        <v>5</v>
      </c>
      <c r="AG29" s="5">
        <v>0.2</v>
      </c>
      <c r="AH29" s="5">
        <v>0.1</v>
      </c>
      <c r="AI29" s="5">
        <v>2</v>
      </c>
      <c r="AJ29" s="3">
        <v>256</v>
      </c>
      <c r="AK29" s="5">
        <v>0.66666666666666663</v>
      </c>
      <c r="AL29" s="5">
        <v>0.4</v>
      </c>
      <c r="AM29" s="5">
        <v>1.6666650000000001</v>
      </c>
      <c r="AN29" s="3">
        <v>169</v>
      </c>
      <c r="AO29">
        <v>1</v>
      </c>
      <c r="AP29">
        <v>1</v>
      </c>
      <c r="AQ29" s="5">
        <v>1</v>
      </c>
      <c r="AR29" s="5">
        <v>0.8</v>
      </c>
      <c r="AS29" s="5">
        <v>1.25</v>
      </c>
      <c r="AT29" s="5">
        <v>1</v>
      </c>
    </row>
    <row r="30" spans="1:46" hidden="1">
      <c r="A30" s="4" t="str">
        <f>_xlfn.XLOOKUP(Table13[[#This Row],[SAP]],'Location List'!B:B,'Location List'!G:G)</f>
        <v>KS/OK</v>
      </c>
      <c r="B30" s="4" t="str">
        <f>LEFT(Table13[[#This Row],[Sap: Loaction]],4)</f>
        <v>114E</v>
      </c>
      <c r="C30" s="4" t="str">
        <f>_xlfn.XLOOKUP(Table13[[#This Row],[Employee]],'Location List'!M:M,'Location List'!N:N,"",0)</f>
        <v/>
      </c>
      <c r="D30" t="s">
        <v>973</v>
      </c>
      <c r="E30" t="s">
        <v>901</v>
      </c>
      <c r="F30" t="s">
        <v>571</v>
      </c>
      <c r="G30" s="3">
        <v>1</v>
      </c>
      <c r="H30" s="3">
        <v>172</v>
      </c>
      <c r="I30">
        <v>375.6</v>
      </c>
      <c r="J30" t="s">
        <v>454</v>
      </c>
      <c r="K30" s="6">
        <v>50.5</v>
      </c>
      <c r="L30" s="6">
        <v>35</v>
      </c>
      <c r="M30" s="5">
        <v>1.4428571428571428</v>
      </c>
      <c r="N30" s="3">
        <v>257</v>
      </c>
      <c r="O30" s="10">
        <v>27</v>
      </c>
      <c r="P30" s="10">
        <v>58</v>
      </c>
      <c r="Q30" s="5">
        <v>0.46551724137931033</v>
      </c>
      <c r="R30" s="5">
        <v>0.19</v>
      </c>
      <c r="S30" s="5">
        <v>2.4500890000000002</v>
      </c>
      <c r="T30" s="3">
        <v>46</v>
      </c>
      <c r="U30" s="10">
        <v>1</v>
      </c>
      <c r="V30" s="10">
        <v>58</v>
      </c>
      <c r="W30" s="5">
        <v>1.7241379310344827E-2</v>
      </c>
      <c r="X30" s="5">
        <v>0.05</v>
      </c>
      <c r="Y30" s="5">
        <v>0.34482000000000002</v>
      </c>
      <c r="Z30" s="3">
        <v>738</v>
      </c>
      <c r="AA30" s="11">
        <v>1.571428</v>
      </c>
      <c r="AB30" s="3">
        <v>407</v>
      </c>
      <c r="AC30">
        <v>3.3333330000000001</v>
      </c>
      <c r="AD30" s="3">
        <v>67</v>
      </c>
      <c r="AE30">
        <v>1</v>
      </c>
      <c r="AF30">
        <v>17</v>
      </c>
      <c r="AG30" s="5">
        <v>5.8823529411764705E-2</v>
      </c>
      <c r="AH30" s="5">
        <v>0.1</v>
      </c>
      <c r="AI30" s="5">
        <v>0.58823000000000003</v>
      </c>
      <c r="AJ30" s="3">
        <v>613</v>
      </c>
      <c r="AK30" s="5">
        <v>0.42499999999999999</v>
      </c>
      <c r="AL30" s="5">
        <v>0.4</v>
      </c>
      <c r="AM30" s="5">
        <v>1.0625</v>
      </c>
      <c r="AN30" s="3">
        <v>528</v>
      </c>
      <c r="AO30">
        <v>4</v>
      </c>
      <c r="AP30">
        <v>5</v>
      </c>
      <c r="AQ30" s="5">
        <v>0.8</v>
      </c>
      <c r="AR30" s="5">
        <v>0.8</v>
      </c>
      <c r="AS30" s="5">
        <v>1</v>
      </c>
      <c r="AT30" s="5">
        <v>619</v>
      </c>
    </row>
    <row r="31" spans="1:46" hidden="1">
      <c r="A31" s="4" t="str">
        <f>_xlfn.XLOOKUP(Table13[[#This Row],[SAP]],'Location List'!B:B,'Location List'!G:G)</f>
        <v>KS/OK</v>
      </c>
      <c r="B31" s="4" t="str">
        <f>LEFT(Table13[[#This Row],[Sap: Loaction]],4)</f>
        <v>966D</v>
      </c>
      <c r="C31" s="4" t="str">
        <f>_xlfn.XLOOKUP(Table13[[#This Row],[Employee]],'Location List'!M:M,'Location List'!N:N,"",0)</f>
        <v/>
      </c>
      <c r="D31" t="s">
        <v>973</v>
      </c>
      <c r="E31" t="s">
        <v>661</v>
      </c>
      <c r="F31" t="s">
        <v>499</v>
      </c>
      <c r="G31" s="3">
        <v>1</v>
      </c>
      <c r="H31" s="3">
        <v>178</v>
      </c>
      <c r="I31">
        <v>380.5</v>
      </c>
      <c r="J31" t="s">
        <v>454</v>
      </c>
      <c r="K31" s="6">
        <v>62.11</v>
      </c>
      <c r="L31" s="6">
        <v>40</v>
      </c>
      <c r="M31" s="5">
        <v>1.5527500000000001</v>
      </c>
      <c r="N31" s="3">
        <v>212</v>
      </c>
      <c r="O31" s="10">
        <v>17</v>
      </c>
      <c r="P31" s="10">
        <v>80</v>
      </c>
      <c r="Q31" s="5">
        <v>0.21249999999999999</v>
      </c>
      <c r="R31" s="5">
        <v>0.19</v>
      </c>
      <c r="S31" s="5">
        <v>1.1184210000000001</v>
      </c>
      <c r="T31" s="3">
        <v>411</v>
      </c>
      <c r="U31" s="10">
        <v>2</v>
      </c>
      <c r="V31" s="10">
        <v>80</v>
      </c>
      <c r="W31" s="5">
        <v>2.5000000000000001E-2</v>
      </c>
      <c r="X31" s="5">
        <v>0.05</v>
      </c>
      <c r="Y31" s="5">
        <v>0.5</v>
      </c>
      <c r="Z31" s="3">
        <v>535</v>
      </c>
      <c r="AA31" s="11">
        <v>2</v>
      </c>
      <c r="AB31" s="3">
        <v>210</v>
      </c>
      <c r="AC31">
        <v>0</v>
      </c>
      <c r="AD31" s="3">
        <v>75</v>
      </c>
      <c r="AE31">
        <v>0</v>
      </c>
      <c r="AF31">
        <v>19</v>
      </c>
      <c r="AG31" s="5">
        <v>0</v>
      </c>
      <c r="AH31" s="5">
        <v>0.1</v>
      </c>
      <c r="AI31" s="5">
        <v>0</v>
      </c>
      <c r="AJ31" s="3">
        <v>696</v>
      </c>
      <c r="AK31" s="5">
        <v>0.26666666666666666</v>
      </c>
      <c r="AL31" s="5">
        <v>0.4</v>
      </c>
      <c r="AM31" s="5">
        <v>0.66666499999999995</v>
      </c>
      <c r="AN31" s="3">
        <v>800</v>
      </c>
      <c r="AO31">
        <v>10</v>
      </c>
      <c r="AP31">
        <v>10</v>
      </c>
      <c r="AQ31" s="5">
        <v>1</v>
      </c>
      <c r="AR31" s="5">
        <v>0.8</v>
      </c>
      <c r="AS31" s="5">
        <v>1.25</v>
      </c>
      <c r="AT31" s="5">
        <v>1</v>
      </c>
    </row>
    <row r="32" spans="1:46" hidden="1">
      <c r="A32" s="4" t="str">
        <f>_xlfn.XLOOKUP(Table13[[#This Row],[SAP]],'Location List'!B:B,'Location List'!G:G)</f>
        <v>KS/OK</v>
      </c>
      <c r="B32" s="4" t="str">
        <f>LEFT(Table13[[#This Row],[Sap: Loaction]],4)</f>
        <v>4781</v>
      </c>
      <c r="C32" s="4" t="str">
        <f>_xlfn.XLOOKUP(Table13[[#This Row],[Employee]],'Location List'!M:M,'Location List'!N:N,"",0)</f>
        <v/>
      </c>
      <c r="D32" t="s">
        <v>973</v>
      </c>
      <c r="E32" t="s">
        <v>663</v>
      </c>
      <c r="F32" t="s">
        <v>495</v>
      </c>
      <c r="G32" s="3">
        <v>1</v>
      </c>
      <c r="H32" s="3">
        <v>179</v>
      </c>
      <c r="I32">
        <v>381</v>
      </c>
      <c r="J32" t="s">
        <v>454</v>
      </c>
      <c r="K32" s="6">
        <v>42.86</v>
      </c>
      <c r="L32" s="6">
        <v>40</v>
      </c>
      <c r="M32" s="5">
        <v>1.0714999999999999</v>
      </c>
      <c r="N32" s="3">
        <v>444</v>
      </c>
      <c r="O32" s="10">
        <v>24</v>
      </c>
      <c r="P32" s="10">
        <v>66</v>
      </c>
      <c r="Q32" s="5">
        <v>0.36363636363636365</v>
      </c>
      <c r="R32" s="5">
        <v>0.19</v>
      </c>
      <c r="S32" s="5">
        <v>1.9138729999999999</v>
      </c>
      <c r="T32" s="3">
        <v>98</v>
      </c>
      <c r="U32" s="10">
        <v>2</v>
      </c>
      <c r="V32" s="10">
        <v>66</v>
      </c>
      <c r="W32" s="5">
        <v>3.0303030303030304E-2</v>
      </c>
      <c r="X32" s="5">
        <v>0.05</v>
      </c>
      <c r="Y32" s="5">
        <v>0.60606000000000004</v>
      </c>
      <c r="Z32" s="3">
        <v>442</v>
      </c>
      <c r="AA32" s="11">
        <v>0.66666599999999998</v>
      </c>
      <c r="AB32" s="3">
        <v>1060</v>
      </c>
      <c r="AC32">
        <v>0</v>
      </c>
      <c r="AD32" s="3">
        <v>75</v>
      </c>
      <c r="AE32">
        <v>0</v>
      </c>
      <c r="AF32">
        <v>9</v>
      </c>
      <c r="AG32" s="5">
        <v>0</v>
      </c>
      <c r="AH32" s="5">
        <v>0.1</v>
      </c>
      <c r="AI32" s="5">
        <v>0</v>
      </c>
      <c r="AJ32" s="3">
        <v>696</v>
      </c>
      <c r="AK32" s="5">
        <v>0.5</v>
      </c>
      <c r="AL32" s="5">
        <v>0.4</v>
      </c>
      <c r="AM32" s="5">
        <v>1.25</v>
      </c>
      <c r="AN32" s="3">
        <v>326</v>
      </c>
      <c r="AO32">
        <v>3</v>
      </c>
      <c r="AP32">
        <v>3</v>
      </c>
      <c r="AQ32" s="5">
        <v>1</v>
      </c>
      <c r="AR32" s="5">
        <v>0.8</v>
      </c>
      <c r="AS32" s="5">
        <v>1.25</v>
      </c>
      <c r="AT32" s="5">
        <v>1</v>
      </c>
    </row>
    <row r="33" spans="1:46" hidden="1">
      <c r="A33" s="4" t="str">
        <f>_xlfn.XLOOKUP(Table13[[#This Row],[SAP]],'Location List'!B:B,'Location List'!G:G)</f>
        <v>MO/IA/NE</v>
      </c>
      <c r="B33" s="4" t="str">
        <f>LEFT(Table13[[#This Row],[Sap: Loaction]],4)</f>
        <v>4ASP</v>
      </c>
      <c r="C33" s="4" t="str">
        <f>_xlfn.XLOOKUP(Table13[[#This Row],[Employee]],'Location List'!M:M,'Location List'!N:N,"",0)</f>
        <v/>
      </c>
      <c r="D33" t="s">
        <v>973</v>
      </c>
      <c r="E33" t="s">
        <v>979</v>
      </c>
      <c r="F33" t="s">
        <v>536</v>
      </c>
      <c r="G33" s="3">
        <v>1</v>
      </c>
      <c r="H33" s="3">
        <v>187</v>
      </c>
      <c r="I33">
        <v>383.4</v>
      </c>
      <c r="J33" t="s">
        <v>454</v>
      </c>
      <c r="K33" s="6">
        <v>100.07</v>
      </c>
      <c r="L33" s="6">
        <v>40</v>
      </c>
      <c r="M33" s="5">
        <v>2.5017499999999999</v>
      </c>
      <c r="N33" s="3">
        <v>29</v>
      </c>
      <c r="O33" s="10">
        <v>19</v>
      </c>
      <c r="P33" s="10">
        <v>80</v>
      </c>
      <c r="Q33" s="5">
        <v>0.23749999999999999</v>
      </c>
      <c r="R33" s="5">
        <v>0.19</v>
      </c>
      <c r="S33" s="5">
        <v>1.25</v>
      </c>
      <c r="T33" s="3">
        <v>319</v>
      </c>
      <c r="U33" s="10">
        <v>3</v>
      </c>
      <c r="V33" s="10">
        <v>80</v>
      </c>
      <c r="W33" s="5">
        <v>3.7499999999999999E-2</v>
      </c>
      <c r="X33" s="5">
        <v>0.05</v>
      </c>
      <c r="Y33" s="5">
        <v>0.75</v>
      </c>
      <c r="Z33" s="3">
        <v>356</v>
      </c>
      <c r="AA33" s="11">
        <v>0.8</v>
      </c>
      <c r="AB33" s="3">
        <v>958</v>
      </c>
      <c r="AC33">
        <v>8</v>
      </c>
      <c r="AD33" s="3">
        <v>36</v>
      </c>
      <c r="AE33">
        <v>4</v>
      </c>
      <c r="AF33">
        <v>17</v>
      </c>
      <c r="AG33" s="5">
        <v>0.23529411764705882</v>
      </c>
      <c r="AH33" s="5">
        <v>0.1</v>
      </c>
      <c r="AI33" s="5">
        <v>2.3529399999999998</v>
      </c>
      <c r="AJ33" s="3">
        <v>231</v>
      </c>
      <c r="AK33" s="5">
        <v>0.222222</v>
      </c>
      <c r="AL33" s="5">
        <v>0.4</v>
      </c>
      <c r="AM33" s="5">
        <v>0.55555500000000002</v>
      </c>
      <c r="AN33" s="3">
        <v>894</v>
      </c>
      <c r="AO33">
        <v>8</v>
      </c>
      <c r="AP33">
        <v>9</v>
      </c>
      <c r="AQ33" s="5">
        <v>0.88888888888888884</v>
      </c>
      <c r="AR33" s="5">
        <v>0.8</v>
      </c>
      <c r="AS33" s="5">
        <v>1.11111</v>
      </c>
      <c r="AT33" s="5">
        <v>562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586D</v>
      </c>
      <c r="C34" s="4" t="str">
        <f>_xlfn.XLOOKUP(Table13[[#This Row],[Employee]],'Location List'!M:M,'Location List'!N:N,"",0)</f>
        <v/>
      </c>
      <c r="D34" t="s">
        <v>973</v>
      </c>
      <c r="E34" t="s">
        <v>682</v>
      </c>
      <c r="F34" t="s">
        <v>507</v>
      </c>
      <c r="G34" s="3">
        <v>1</v>
      </c>
      <c r="H34" s="3">
        <v>191</v>
      </c>
      <c r="I34">
        <v>386.7</v>
      </c>
      <c r="J34" t="s">
        <v>454</v>
      </c>
      <c r="K34" s="6">
        <v>63.37</v>
      </c>
      <c r="L34" s="6">
        <v>40</v>
      </c>
      <c r="M34" s="5">
        <v>1.5842499999999999</v>
      </c>
      <c r="N34" s="3">
        <v>197</v>
      </c>
      <c r="O34" s="10">
        <v>35</v>
      </c>
      <c r="P34" s="10">
        <v>166</v>
      </c>
      <c r="Q34" s="5">
        <v>0.21084337349397592</v>
      </c>
      <c r="R34" s="5">
        <v>0.19</v>
      </c>
      <c r="S34" s="5">
        <v>1.1096999999999999</v>
      </c>
      <c r="T34" s="3">
        <v>417</v>
      </c>
      <c r="U34" s="10">
        <v>3</v>
      </c>
      <c r="V34" s="10">
        <v>166</v>
      </c>
      <c r="W34" s="5">
        <v>1.8072289156626505E-2</v>
      </c>
      <c r="X34" s="5">
        <v>0.05</v>
      </c>
      <c r="Y34" s="5">
        <v>0.36143999999999998</v>
      </c>
      <c r="Z34" s="3">
        <v>718</v>
      </c>
      <c r="AA34" s="11">
        <v>1.142857</v>
      </c>
      <c r="AB34" s="3">
        <v>683</v>
      </c>
      <c r="AC34">
        <v>10</v>
      </c>
      <c r="AD34" s="3">
        <v>1</v>
      </c>
      <c r="AE34">
        <v>5</v>
      </c>
      <c r="AF34">
        <v>18</v>
      </c>
      <c r="AG34" s="5">
        <v>0.27777777777777779</v>
      </c>
      <c r="AH34" s="5">
        <v>0.1</v>
      </c>
      <c r="AI34" s="5">
        <v>2.7777699999999999</v>
      </c>
      <c r="AJ34" s="3">
        <v>177</v>
      </c>
      <c r="AK34" s="5">
        <v>0.66969666666666672</v>
      </c>
      <c r="AL34" s="5">
        <v>0.4</v>
      </c>
      <c r="AM34" s="5">
        <v>1.67424</v>
      </c>
      <c r="AN34" s="3">
        <v>168</v>
      </c>
      <c r="AO34">
        <v>0</v>
      </c>
      <c r="AP34">
        <v>0</v>
      </c>
      <c r="AQ34" s="5" t="s">
        <v>653</v>
      </c>
      <c r="AR34" s="5">
        <v>0.8</v>
      </c>
      <c r="AS34" s="5">
        <v>0</v>
      </c>
      <c r="AT34" s="5">
        <v>902</v>
      </c>
    </row>
    <row r="35" spans="1:46" hidden="1">
      <c r="A35" s="4" t="str">
        <f>_xlfn.XLOOKUP(Table13[[#This Row],[SAP]],'Location List'!B:B,'Location List'!G:G)</f>
        <v>CENTRAL TEXAS</v>
      </c>
      <c r="B35" s="4" t="str">
        <f>LEFT(Table13[[#This Row],[Sap: Loaction]],4)</f>
        <v>1FSC</v>
      </c>
      <c r="C35" s="4" t="str">
        <f>_xlfn.XLOOKUP(Table13[[#This Row],[Employee]],'Location List'!M:M,'Location List'!N:N,"",0)</f>
        <v>RSM</v>
      </c>
      <c r="D35" t="s">
        <v>973</v>
      </c>
      <c r="E35" t="s">
        <v>939</v>
      </c>
      <c r="F35" t="s">
        <v>524</v>
      </c>
      <c r="G35" s="3">
        <v>1</v>
      </c>
      <c r="H35" s="3">
        <v>193</v>
      </c>
      <c r="I35">
        <v>387</v>
      </c>
      <c r="J35" t="s">
        <v>454</v>
      </c>
      <c r="K35" s="6">
        <v>36.96</v>
      </c>
      <c r="L35" s="6">
        <v>40</v>
      </c>
      <c r="M35" s="5">
        <v>0.92400000000000004</v>
      </c>
      <c r="N35" s="3">
        <v>546</v>
      </c>
      <c r="O35" s="10">
        <v>10</v>
      </c>
      <c r="P35" s="10">
        <v>44</v>
      </c>
      <c r="Q35" s="5">
        <v>0.22727272727272727</v>
      </c>
      <c r="R35" s="5">
        <v>0.19</v>
      </c>
      <c r="S35" s="5">
        <v>1.1961679999999999</v>
      </c>
      <c r="T35" s="3">
        <v>363</v>
      </c>
      <c r="U35" s="10">
        <v>4</v>
      </c>
      <c r="V35" s="10">
        <v>44</v>
      </c>
      <c r="W35" s="5">
        <v>9.0909090909090912E-2</v>
      </c>
      <c r="X35" s="5">
        <v>0.05</v>
      </c>
      <c r="Y35" s="5">
        <v>1.8181799999999999</v>
      </c>
      <c r="Z35" s="3">
        <v>33</v>
      </c>
      <c r="AA35" s="11">
        <v>0.76922999999999997</v>
      </c>
      <c r="AB35" s="3">
        <v>983</v>
      </c>
      <c r="AC35">
        <v>9</v>
      </c>
      <c r="AD35" s="3">
        <v>22</v>
      </c>
      <c r="AE35">
        <v>0</v>
      </c>
      <c r="AF35">
        <v>6</v>
      </c>
      <c r="AG35" s="5">
        <v>0</v>
      </c>
      <c r="AH35" s="5">
        <v>0.1</v>
      </c>
      <c r="AI35" s="5">
        <v>0</v>
      </c>
      <c r="AJ35" s="3">
        <v>696</v>
      </c>
      <c r="AK35" s="5">
        <v>0.6</v>
      </c>
      <c r="AL35" s="5">
        <v>0.4</v>
      </c>
      <c r="AM35" s="5">
        <v>1.5</v>
      </c>
      <c r="AN35" s="3">
        <v>242</v>
      </c>
      <c r="AO35">
        <v>5</v>
      </c>
      <c r="AP35">
        <v>5</v>
      </c>
      <c r="AQ35" s="5">
        <v>1</v>
      </c>
      <c r="AR35" s="5">
        <v>0.8</v>
      </c>
      <c r="AS35" s="5">
        <v>1.25</v>
      </c>
      <c r="AT35" s="5">
        <v>1</v>
      </c>
    </row>
    <row r="36" spans="1:46" hidden="1">
      <c r="A36" s="4" t="str">
        <f>_xlfn.XLOOKUP(Table13[[#This Row],[SAP]],'Location List'!B:B,'Location List'!G:G)</f>
        <v>KS/OK</v>
      </c>
      <c r="B36" s="4" t="str">
        <f>LEFT(Table13[[#This Row],[Sap: Loaction]],4)</f>
        <v>966D</v>
      </c>
      <c r="C36" s="4" t="str">
        <f>_xlfn.XLOOKUP(Table13[[#This Row],[Employee]],'Location List'!M:M,'Location List'!N:N,"",0)</f>
        <v/>
      </c>
      <c r="D36" t="s">
        <v>973</v>
      </c>
      <c r="E36" t="s">
        <v>610</v>
      </c>
      <c r="F36" t="s">
        <v>499</v>
      </c>
      <c r="G36" s="3">
        <v>1</v>
      </c>
      <c r="H36" s="3">
        <v>199</v>
      </c>
      <c r="I36">
        <v>390.2</v>
      </c>
      <c r="J36" t="s">
        <v>454</v>
      </c>
      <c r="K36" s="6">
        <v>52.39</v>
      </c>
      <c r="L36" s="6">
        <v>40</v>
      </c>
      <c r="M36" s="5">
        <v>1.30975</v>
      </c>
      <c r="N36" s="3">
        <v>316</v>
      </c>
      <c r="O36" s="10">
        <v>9</v>
      </c>
      <c r="P36" s="10">
        <v>17</v>
      </c>
      <c r="Q36" s="5">
        <v>0.52941176470588236</v>
      </c>
      <c r="R36" s="5">
        <v>0.19</v>
      </c>
      <c r="S36" s="5">
        <v>2.7863730000000002</v>
      </c>
      <c r="T36" s="3">
        <v>25</v>
      </c>
      <c r="U36" s="10">
        <v>1</v>
      </c>
      <c r="V36" s="10">
        <v>17</v>
      </c>
      <c r="W36" s="5">
        <v>5.8823529411764705E-2</v>
      </c>
      <c r="X36" s="5">
        <v>0.05</v>
      </c>
      <c r="Y36" s="5">
        <v>1.1764600000000001</v>
      </c>
      <c r="Z36" s="3">
        <v>138</v>
      </c>
      <c r="AA36" s="11">
        <v>3</v>
      </c>
      <c r="AB36" s="3">
        <v>69</v>
      </c>
      <c r="AC36">
        <v>0</v>
      </c>
      <c r="AD36" s="3">
        <v>75</v>
      </c>
      <c r="AE36">
        <v>0</v>
      </c>
      <c r="AF36">
        <v>4</v>
      </c>
      <c r="AG36" s="5">
        <v>0</v>
      </c>
      <c r="AH36" s="5">
        <v>0.1</v>
      </c>
      <c r="AI36" s="5">
        <v>0</v>
      </c>
      <c r="AJ36" s="3">
        <v>696</v>
      </c>
      <c r="AK36" s="5">
        <v>0</v>
      </c>
      <c r="AL36" s="5">
        <v>0.4</v>
      </c>
      <c r="AM36" s="5">
        <v>0</v>
      </c>
      <c r="AN36" s="3">
        <v>1150</v>
      </c>
      <c r="AO36">
        <v>0</v>
      </c>
      <c r="AP36">
        <v>0</v>
      </c>
      <c r="AQ36" s="5" t="s">
        <v>653</v>
      </c>
      <c r="AR36" s="5">
        <v>0.8</v>
      </c>
      <c r="AS36" s="5">
        <v>0</v>
      </c>
      <c r="AT36" s="5">
        <v>902</v>
      </c>
    </row>
    <row r="37" spans="1:46" hidden="1">
      <c r="A37" s="4" t="str">
        <f>_xlfn.XLOOKUP(Table13[[#This Row],[SAP]],'Location List'!B:B,'Location List'!G:G)</f>
        <v>CENTRAL TEXAS</v>
      </c>
      <c r="B37" s="4" t="str">
        <f>LEFT(Table13[[#This Row],[Sap: Loaction]],4)</f>
        <v>1DSG</v>
      </c>
      <c r="C37" s="4" t="str">
        <f>_xlfn.XLOOKUP(Table13[[#This Row],[Employee]],'Location List'!M:M,'Location List'!N:N,"",0)</f>
        <v/>
      </c>
      <c r="D37" t="s">
        <v>973</v>
      </c>
      <c r="E37" t="s">
        <v>847</v>
      </c>
      <c r="F37" t="s">
        <v>565</v>
      </c>
      <c r="G37" s="3">
        <v>1</v>
      </c>
      <c r="H37" s="3">
        <v>200</v>
      </c>
      <c r="I37">
        <v>390.6</v>
      </c>
      <c r="J37" t="s">
        <v>454</v>
      </c>
      <c r="K37" s="6">
        <v>42.09</v>
      </c>
      <c r="L37" s="6">
        <v>30.000000000000004</v>
      </c>
      <c r="M37" s="5">
        <v>1.403</v>
      </c>
      <c r="N37" s="3">
        <v>276</v>
      </c>
      <c r="O37" s="10">
        <v>13</v>
      </c>
      <c r="P37" s="10">
        <v>91</v>
      </c>
      <c r="Q37" s="5">
        <v>0.14285714285714285</v>
      </c>
      <c r="R37" s="5">
        <v>0.19</v>
      </c>
      <c r="S37" s="5">
        <v>0.75187800000000005</v>
      </c>
      <c r="T37" s="3">
        <v>716</v>
      </c>
      <c r="U37" s="10">
        <v>5</v>
      </c>
      <c r="V37" s="10">
        <v>91</v>
      </c>
      <c r="W37" s="5">
        <v>5.4945054945054944E-2</v>
      </c>
      <c r="X37" s="5">
        <v>0.05</v>
      </c>
      <c r="Y37" s="5">
        <v>1.0989</v>
      </c>
      <c r="Z37" s="3">
        <v>173</v>
      </c>
      <c r="AA37" s="11">
        <v>1.3</v>
      </c>
      <c r="AB37" s="3">
        <v>582</v>
      </c>
      <c r="AC37">
        <v>9.6666659999999993</v>
      </c>
      <c r="AD37" s="3">
        <v>10</v>
      </c>
      <c r="AE37">
        <v>1</v>
      </c>
      <c r="AF37">
        <v>9</v>
      </c>
      <c r="AG37" s="5">
        <v>0.1111111111111111</v>
      </c>
      <c r="AH37" s="5">
        <v>0.1</v>
      </c>
      <c r="AI37" s="5">
        <v>1.11111</v>
      </c>
      <c r="AJ37" s="3">
        <v>442</v>
      </c>
      <c r="AK37" s="5">
        <v>0.33333333333333331</v>
      </c>
      <c r="AL37" s="5">
        <v>0.4</v>
      </c>
      <c r="AM37" s="5">
        <v>0.83333199999999996</v>
      </c>
      <c r="AN37" s="3">
        <v>631</v>
      </c>
      <c r="AO37">
        <v>5</v>
      </c>
      <c r="AP37">
        <v>5</v>
      </c>
      <c r="AQ37" s="5">
        <v>1</v>
      </c>
      <c r="AR37" s="5">
        <v>0.8</v>
      </c>
      <c r="AS37" s="5">
        <v>1.25</v>
      </c>
      <c r="AT37" s="5">
        <v>1</v>
      </c>
    </row>
    <row r="38" spans="1:46">
      <c r="A38" s="4" t="str">
        <f>_xlfn.XLOOKUP(Table13[[#This Row],[SAP]],'Location List'!B:B,'Location List'!G:G)</f>
        <v>SA SOUTH</v>
      </c>
      <c r="B38" s="4" t="str">
        <f>LEFT(Table13[[#This Row],[Sap: Loaction]],4)</f>
        <v>1627</v>
      </c>
      <c r="C38" s="4" t="str">
        <f>_xlfn.XLOOKUP(Table13[[#This Row],[Employee]],'Location List'!M:M,'Location List'!N:N,"",0)</f>
        <v/>
      </c>
      <c r="D38" t="s">
        <v>973</v>
      </c>
      <c r="E38" t="s">
        <v>647</v>
      </c>
      <c r="F38" t="s">
        <v>497</v>
      </c>
      <c r="G38" s="3">
        <v>1</v>
      </c>
      <c r="H38" s="3">
        <v>202</v>
      </c>
      <c r="I38">
        <v>391.05</v>
      </c>
      <c r="J38" t="s">
        <v>454</v>
      </c>
      <c r="K38" s="6">
        <v>54.81</v>
      </c>
      <c r="L38" s="6">
        <v>40</v>
      </c>
      <c r="M38" s="5">
        <v>1.37025</v>
      </c>
      <c r="N38" s="3">
        <v>293</v>
      </c>
      <c r="O38" s="10">
        <v>18</v>
      </c>
      <c r="P38" s="10">
        <v>71</v>
      </c>
      <c r="Q38" s="5">
        <v>0.25352112676056338</v>
      </c>
      <c r="R38" s="5">
        <v>0.19</v>
      </c>
      <c r="S38" s="5">
        <v>1.3343210000000001</v>
      </c>
      <c r="T38" s="3">
        <v>263</v>
      </c>
      <c r="U38" s="10">
        <v>0</v>
      </c>
      <c r="V38" s="10">
        <v>71</v>
      </c>
      <c r="W38" s="5">
        <v>0</v>
      </c>
      <c r="X38" s="5">
        <v>0.05</v>
      </c>
      <c r="Y38" s="5">
        <v>0</v>
      </c>
      <c r="Z38" s="3">
        <v>994</v>
      </c>
      <c r="AA38" s="11">
        <v>1.666666</v>
      </c>
      <c r="AB38" s="3">
        <v>357</v>
      </c>
      <c r="AC38">
        <v>10</v>
      </c>
      <c r="AD38" s="3">
        <v>1</v>
      </c>
      <c r="AE38">
        <v>1</v>
      </c>
      <c r="AF38">
        <v>9</v>
      </c>
      <c r="AG38" s="5">
        <v>0.1111111111111111</v>
      </c>
      <c r="AH38" s="5">
        <v>0.1</v>
      </c>
      <c r="AI38" s="5">
        <v>1.11111</v>
      </c>
      <c r="AJ38" s="3">
        <v>442</v>
      </c>
      <c r="AK38" s="5">
        <v>0.20833333333333334</v>
      </c>
      <c r="AL38" s="5">
        <v>0.4</v>
      </c>
      <c r="AM38" s="5">
        <v>0.52083199999999996</v>
      </c>
      <c r="AN38" s="3">
        <v>929</v>
      </c>
      <c r="AO38">
        <v>5</v>
      </c>
      <c r="AP38">
        <v>5</v>
      </c>
      <c r="AQ38" s="5">
        <v>1</v>
      </c>
      <c r="AR38" s="5">
        <v>0.8</v>
      </c>
      <c r="AS38" s="5">
        <v>1.25</v>
      </c>
      <c r="AT38" s="5">
        <v>1</v>
      </c>
    </row>
    <row r="39" spans="1:46" hidden="1">
      <c r="A39" s="4" t="str">
        <f>_xlfn.XLOOKUP(Table13[[#This Row],[SAP]],'Location List'!B:B,'Location List'!G:G)</f>
        <v>WEST TEXAS</v>
      </c>
      <c r="B39" s="4" t="str">
        <f>LEFT(Table13[[#This Row],[Sap: Loaction]],4)</f>
        <v>1FSX</v>
      </c>
      <c r="C39" s="4" t="str">
        <f>_xlfn.XLOOKUP(Table13[[#This Row],[Employee]],'Location List'!M:M,'Location List'!N:N,"",0)</f>
        <v/>
      </c>
      <c r="D39" t="s">
        <v>973</v>
      </c>
      <c r="E39" t="s">
        <v>641</v>
      </c>
      <c r="F39" t="s">
        <v>517</v>
      </c>
      <c r="G39" s="3">
        <v>1</v>
      </c>
      <c r="H39" s="3">
        <v>206</v>
      </c>
      <c r="I39">
        <v>392.1</v>
      </c>
      <c r="J39" t="s">
        <v>454</v>
      </c>
      <c r="K39" s="6">
        <v>28.85</v>
      </c>
      <c r="L39" s="6">
        <v>30</v>
      </c>
      <c r="M39" s="5">
        <v>0.96166666666666667</v>
      </c>
      <c r="N39" s="3">
        <v>520</v>
      </c>
      <c r="O39" s="10">
        <v>12</v>
      </c>
      <c r="P39" s="10">
        <v>64</v>
      </c>
      <c r="Q39" s="5">
        <v>0.1875</v>
      </c>
      <c r="R39" s="5">
        <v>0.19</v>
      </c>
      <c r="S39" s="5">
        <v>0.986842</v>
      </c>
      <c r="T39" s="3">
        <v>508</v>
      </c>
      <c r="U39" s="10">
        <v>4</v>
      </c>
      <c r="V39" s="10">
        <v>64</v>
      </c>
      <c r="W39" s="5">
        <v>6.25E-2</v>
      </c>
      <c r="X39" s="5">
        <v>0.05</v>
      </c>
      <c r="Y39" s="5">
        <v>1.25</v>
      </c>
      <c r="Z39" s="3">
        <v>122</v>
      </c>
      <c r="AA39" s="11">
        <v>1.7777769999999999</v>
      </c>
      <c r="AB39" s="3">
        <v>319</v>
      </c>
      <c r="AC39">
        <v>9.5</v>
      </c>
      <c r="AD39" s="3">
        <v>14</v>
      </c>
      <c r="AE39">
        <v>0</v>
      </c>
      <c r="AF39">
        <v>8</v>
      </c>
      <c r="AG39" s="5">
        <v>0</v>
      </c>
      <c r="AH39" s="5">
        <v>0.1</v>
      </c>
      <c r="AI39" s="5">
        <v>0</v>
      </c>
      <c r="AJ39" s="3">
        <v>696</v>
      </c>
      <c r="AK39" s="5">
        <v>0.34920599999999996</v>
      </c>
      <c r="AL39" s="5">
        <v>0.4</v>
      </c>
      <c r="AM39" s="5">
        <v>0.87301499999999999</v>
      </c>
      <c r="AN39" s="3">
        <v>625</v>
      </c>
      <c r="AO39">
        <v>6</v>
      </c>
      <c r="AP39">
        <v>6</v>
      </c>
      <c r="AQ39" s="5">
        <v>1</v>
      </c>
      <c r="AR39" s="5">
        <v>0.8</v>
      </c>
      <c r="AS39" s="5">
        <v>1.25</v>
      </c>
      <c r="AT39" s="5">
        <v>1</v>
      </c>
    </row>
    <row r="40" spans="1:46" hidden="1">
      <c r="A40" s="4" t="str">
        <f>_xlfn.XLOOKUP(Table13[[#This Row],[SAP]],'Location List'!B:B,'Location List'!G:G)</f>
        <v>WEST TEXAS</v>
      </c>
      <c r="B40" s="4" t="str">
        <f>LEFT(Table13[[#This Row],[Sap: Loaction]],4)</f>
        <v>1FSX</v>
      </c>
      <c r="C40" s="4" t="str">
        <f>_xlfn.XLOOKUP(Table13[[#This Row],[Employee]],'Location List'!M:M,'Location List'!N:N,"",0)</f>
        <v/>
      </c>
      <c r="D40" t="s">
        <v>973</v>
      </c>
      <c r="E40" t="s">
        <v>732</v>
      </c>
      <c r="F40" t="s">
        <v>517</v>
      </c>
      <c r="G40" s="3">
        <v>1</v>
      </c>
      <c r="H40" s="3">
        <v>211</v>
      </c>
      <c r="I40">
        <v>396.6</v>
      </c>
      <c r="J40" t="s">
        <v>454</v>
      </c>
      <c r="K40" s="6">
        <v>47.74</v>
      </c>
      <c r="L40" s="6">
        <v>30.000000000000004</v>
      </c>
      <c r="M40" s="5">
        <v>1.5913333333333333</v>
      </c>
      <c r="N40" s="3">
        <v>194</v>
      </c>
      <c r="O40" s="10">
        <v>11</v>
      </c>
      <c r="P40" s="10">
        <v>65</v>
      </c>
      <c r="Q40" s="5">
        <v>0.16923076923076924</v>
      </c>
      <c r="R40" s="5">
        <v>0.19</v>
      </c>
      <c r="S40" s="5">
        <v>0.89068400000000003</v>
      </c>
      <c r="T40" s="3">
        <v>599</v>
      </c>
      <c r="U40" s="10">
        <v>1</v>
      </c>
      <c r="V40" s="10">
        <v>65</v>
      </c>
      <c r="W40" s="5">
        <v>1.5384615384615385E-2</v>
      </c>
      <c r="X40" s="5">
        <v>0.05</v>
      </c>
      <c r="Y40" s="5">
        <v>0.30768000000000001</v>
      </c>
      <c r="Z40" s="3">
        <v>799</v>
      </c>
      <c r="AA40" s="11">
        <v>1.142857</v>
      </c>
      <c r="AB40" s="3">
        <v>683</v>
      </c>
      <c r="AC40">
        <v>9.8000000000000007</v>
      </c>
      <c r="AD40" s="3">
        <v>6</v>
      </c>
      <c r="AE40">
        <v>2</v>
      </c>
      <c r="AF40">
        <v>9</v>
      </c>
      <c r="AG40" s="5">
        <v>0.22222222222222221</v>
      </c>
      <c r="AH40" s="5">
        <v>0.1</v>
      </c>
      <c r="AI40" s="5">
        <v>2.2222200000000001</v>
      </c>
      <c r="AJ40" s="3">
        <v>238</v>
      </c>
      <c r="AK40" s="5">
        <v>0.33333333333333331</v>
      </c>
      <c r="AL40" s="5">
        <v>0.4</v>
      </c>
      <c r="AM40" s="5">
        <v>0.83333199999999996</v>
      </c>
      <c r="AN40" s="3">
        <v>631</v>
      </c>
      <c r="AO40">
        <v>3</v>
      </c>
      <c r="AP40">
        <v>3</v>
      </c>
      <c r="AQ40" s="5">
        <v>1</v>
      </c>
      <c r="AR40" s="5">
        <v>0.8</v>
      </c>
      <c r="AS40" s="5">
        <v>1.25</v>
      </c>
      <c r="AT40" s="5">
        <v>1</v>
      </c>
    </row>
    <row r="41" spans="1:46" hidden="1">
      <c r="A41" s="4" t="str">
        <f>_xlfn.XLOOKUP(Table13[[#This Row],[SAP]],'Location List'!B:B,'Location List'!G:G)</f>
        <v>DFW EAST</v>
      </c>
      <c r="B41" s="4" t="str">
        <f>LEFT(Table13[[#This Row],[Sap: Loaction]],4)</f>
        <v>618E</v>
      </c>
      <c r="C41" s="4" t="str">
        <f>_xlfn.XLOOKUP(Table13[[#This Row],[Employee]],'Location List'!M:M,'Location List'!N:N,"",0)</f>
        <v>RSM</v>
      </c>
      <c r="D41" t="s">
        <v>973</v>
      </c>
      <c r="E41" t="s">
        <v>883</v>
      </c>
      <c r="F41" t="s">
        <v>511</v>
      </c>
      <c r="G41" s="3">
        <v>1</v>
      </c>
      <c r="H41" s="3">
        <v>215</v>
      </c>
      <c r="I41">
        <v>398.1</v>
      </c>
      <c r="J41" t="s">
        <v>454</v>
      </c>
      <c r="K41" s="6">
        <v>29.63</v>
      </c>
      <c r="L41" s="6">
        <v>29.999999999999996</v>
      </c>
      <c r="M41" s="5">
        <v>0.98766666666666669</v>
      </c>
      <c r="N41" s="3">
        <v>496</v>
      </c>
      <c r="O41" s="10">
        <v>7</v>
      </c>
      <c r="P41" s="10">
        <v>34</v>
      </c>
      <c r="Q41" s="5">
        <v>0.20588235294117646</v>
      </c>
      <c r="R41" s="5">
        <v>0.19</v>
      </c>
      <c r="S41" s="5">
        <v>1.0835889999999999</v>
      </c>
      <c r="T41" s="3">
        <v>434</v>
      </c>
      <c r="U41" s="10">
        <v>0</v>
      </c>
      <c r="V41" s="10">
        <v>34</v>
      </c>
      <c r="W41" s="5">
        <v>0</v>
      </c>
      <c r="X41" s="5">
        <v>0.05</v>
      </c>
      <c r="Y41" s="5">
        <v>0</v>
      </c>
      <c r="Z41" s="3">
        <v>994</v>
      </c>
      <c r="AA41" s="11">
        <v>0</v>
      </c>
      <c r="AB41" s="3">
        <v>1357</v>
      </c>
      <c r="AC41">
        <v>10</v>
      </c>
      <c r="AD41" s="3">
        <v>1</v>
      </c>
      <c r="AE41">
        <v>3</v>
      </c>
      <c r="AF41">
        <v>4</v>
      </c>
      <c r="AG41" s="5">
        <v>0.75</v>
      </c>
      <c r="AH41" s="5">
        <v>0.1</v>
      </c>
      <c r="AI41" s="5">
        <v>7.5</v>
      </c>
      <c r="AJ41" s="3">
        <v>10</v>
      </c>
      <c r="AK41" s="5">
        <v>1</v>
      </c>
      <c r="AL41" s="5">
        <v>0.4</v>
      </c>
      <c r="AM41" s="5">
        <v>2.5</v>
      </c>
      <c r="AN41" s="3">
        <v>1</v>
      </c>
      <c r="AO41">
        <v>2</v>
      </c>
      <c r="AP41">
        <v>2</v>
      </c>
      <c r="AQ41" s="5">
        <v>1</v>
      </c>
      <c r="AR41" s="5">
        <v>0.8</v>
      </c>
      <c r="AS41" s="5">
        <v>1.25</v>
      </c>
      <c r="AT41" s="5">
        <v>1</v>
      </c>
    </row>
    <row r="42" spans="1:46" hidden="1">
      <c r="A42" s="4" t="str">
        <f>_xlfn.XLOOKUP(Table13[[#This Row],[SAP]],'Location List'!B:B,'Location List'!G:G)</f>
        <v>CENTRAL TEXAS</v>
      </c>
      <c r="B42" s="4" t="str">
        <f>LEFT(Table13[[#This Row],[Sap: Loaction]],4)</f>
        <v>1DSD</v>
      </c>
      <c r="C42" s="4" t="str">
        <f>_xlfn.XLOOKUP(Table13[[#This Row],[Employee]],'Location List'!M:M,'Location List'!N:N,"",0)</f>
        <v/>
      </c>
      <c r="D42" t="s">
        <v>973</v>
      </c>
      <c r="E42" t="s">
        <v>828</v>
      </c>
      <c r="F42" t="s">
        <v>567</v>
      </c>
      <c r="G42" s="3">
        <v>1</v>
      </c>
      <c r="H42" s="3">
        <v>216</v>
      </c>
      <c r="I42">
        <v>398.5</v>
      </c>
      <c r="J42" t="s">
        <v>454</v>
      </c>
      <c r="K42" s="6">
        <v>86.89</v>
      </c>
      <c r="L42" s="6">
        <v>35</v>
      </c>
      <c r="M42" s="5">
        <v>2.4825714285714287</v>
      </c>
      <c r="N42" s="3">
        <v>36</v>
      </c>
      <c r="O42" s="10">
        <v>22</v>
      </c>
      <c r="P42" s="10">
        <v>98</v>
      </c>
      <c r="Q42" s="5">
        <v>0.22448979591836735</v>
      </c>
      <c r="R42" s="5">
        <v>0.19</v>
      </c>
      <c r="S42" s="5">
        <v>1.181521</v>
      </c>
      <c r="T42" s="3">
        <v>377</v>
      </c>
      <c r="U42" s="10">
        <v>5</v>
      </c>
      <c r="V42" s="10">
        <v>98</v>
      </c>
      <c r="W42" s="5">
        <v>5.1020408163265307E-2</v>
      </c>
      <c r="X42" s="5">
        <v>0.05</v>
      </c>
      <c r="Y42" s="5">
        <v>1.0204</v>
      </c>
      <c r="Z42" s="3">
        <v>213</v>
      </c>
      <c r="AA42" s="11">
        <v>0.55000000000000004</v>
      </c>
      <c r="AB42" s="3">
        <v>1161</v>
      </c>
      <c r="AC42">
        <v>9</v>
      </c>
      <c r="AD42" s="3">
        <v>22</v>
      </c>
      <c r="AE42">
        <v>2</v>
      </c>
      <c r="AF42">
        <v>18</v>
      </c>
      <c r="AG42" s="5">
        <v>0.1111111111111111</v>
      </c>
      <c r="AH42" s="5">
        <v>0.1</v>
      </c>
      <c r="AI42" s="5">
        <v>1.11111</v>
      </c>
      <c r="AJ42" s="3">
        <v>442</v>
      </c>
      <c r="AK42" s="5">
        <v>6.6666666666666666E-2</v>
      </c>
      <c r="AL42" s="5">
        <v>0.4</v>
      </c>
      <c r="AM42" s="5">
        <v>0.16666500000000001</v>
      </c>
      <c r="AN42" s="3">
        <v>1117</v>
      </c>
      <c r="AO42">
        <v>2</v>
      </c>
      <c r="AP42">
        <v>2</v>
      </c>
      <c r="AQ42" s="5">
        <v>1</v>
      </c>
      <c r="AR42" s="5">
        <v>0.8</v>
      </c>
      <c r="AS42" s="5">
        <v>1.25</v>
      </c>
      <c r="AT42" s="5">
        <v>1</v>
      </c>
    </row>
    <row r="43" spans="1:46">
      <c r="A43" s="4" t="str">
        <f>_xlfn.XLOOKUP(Table13[[#This Row],[SAP]],'Location List'!B:B,'Location List'!G:G)</f>
        <v>SOUTH TX/RGV</v>
      </c>
      <c r="B43" s="4" t="str">
        <f>LEFT(Table13[[#This Row],[Sap: Loaction]],4)</f>
        <v>5DSX</v>
      </c>
      <c r="C43" s="4" t="str">
        <f>_xlfn.XLOOKUP(Table13[[#This Row],[Employee]],'Location List'!M:M,'Location List'!N:N,"",0)</f>
        <v/>
      </c>
      <c r="D43" t="s">
        <v>973</v>
      </c>
      <c r="E43" t="s">
        <v>975</v>
      </c>
      <c r="F43" t="s">
        <v>570</v>
      </c>
      <c r="G43" s="3">
        <v>1</v>
      </c>
      <c r="H43" s="3">
        <v>217</v>
      </c>
      <c r="I43">
        <v>400.4</v>
      </c>
      <c r="J43" t="s">
        <v>454</v>
      </c>
      <c r="K43" s="6">
        <v>72.819999999999993</v>
      </c>
      <c r="L43" s="6">
        <v>39.999999999999993</v>
      </c>
      <c r="M43" s="5">
        <v>1.8205</v>
      </c>
      <c r="N43" s="3">
        <v>129</v>
      </c>
      <c r="O43" s="10">
        <v>18</v>
      </c>
      <c r="P43" s="10">
        <v>96</v>
      </c>
      <c r="Q43" s="5">
        <v>0.1875</v>
      </c>
      <c r="R43" s="5">
        <v>0.19</v>
      </c>
      <c r="S43" s="5">
        <v>0.986842</v>
      </c>
      <c r="T43" s="3">
        <v>508</v>
      </c>
      <c r="U43" s="10">
        <v>3</v>
      </c>
      <c r="V43" s="10">
        <v>96</v>
      </c>
      <c r="W43" s="5">
        <v>3.125E-2</v>
      </c>
      <c r="X43" s="5">
        <v>0.05</v>
      </c>
      <c r="Y43" s="5">
        <v>0.625</v>
      </c>
      <c r="Z43" s="3">
        <v>428</v>
      </c>
      <c r="AA43" s="11">
        <v>1.285714</v>
      </c>
      <c r="AB43" s="3">
        <v>585</v>
      </c>
      <c r="AC43">
        <v>0</v>
      </c>
      <c r="AD43" s="3">
        <v>75</v>
      </c>
      <c r="AE43">
        <v>3</v>
      </c>
      <c r="AF43">
        <v>18</v>
      </c>
      <c r="AG43" s="5">
        <v>0.16666666666666666</v>
      </c>
      <c r="AH43" s="5">
        <v>0.1</v>
      </c>
      <c r="AI43" s="5">
        <v>1.66666</v>
      </c>
      <c r="AJ43" s="3">
        <v>319</v>
      </c>
      <c r="AK43" s="5">
        <v>0.5</v>
      </c>
      <c r="AL43" s="5">
        <v>0.4</v>
      </c>
      <c r="AM43" s="5">
        <v>1.25</v>
      </c>
      <c r="AN43" s="3">
        <v>326</v>
      </c>
      <c r="AO43">
        <v>0</v>
      </c>
      <c r="AP43">
        <v>1</v>
      </c>
      <c r="AQ43" s="5">
        <v>0</v>
      </c>
      <c r="AR43" s="5">
        <v>0.8</v>
      </c>
      <c r="AS43" s="5">
        <v>0</v>
      </c>
      <c r="AT43" s="5">
        <v>902</v>
      </c>
    </row>
    <row r="44" spans="1:46" hidden="1">
      <c r="A44" s="4" t="str">
        <f>_xlfn.XLOOKUP(Table13[[#This Row],[SAP]],'Location List'!B:B,'Location List'!G:G)</f>
        <v>SA/HILL COUNTRY</v>
      </c>
      <c r="B44" s="4" t="str">
        <f>LEFT(Table13[[#This Row],[Sap: Loaction]],4)</f>
        <v>583D</v>
      </c>
      <c r="C44" s="4" t="str">
        <f>_xlfn.XLOOKUP(Table13[[#This Row],[Employee]],'Location List'!M:M,'Location List'!N:N,"",0)</f>
        <v/>
      </c>
      <c r="D44" t="s">
        <v>973</v>
      </c>
      <c r="E44" t="s">
        <v>763</v>
      </c>
      <c r="F44" t="s">
        <v>538</v>
      </c>
      <c r="G44" s="3">
        <v>1</v>
      </c>
      <c r="H44" s="3">
        <v>223</v>
      </c>
      <c r="I44">
        <v>403.2</v>
      </c>
      <c r="J44" t="s">
        <v>454</v>
      </c>
      <c r="K44" s="6">
        <v>63.63</v>
      </c>
      <c r="L44" s="6">
        <v>40</v>
      </c>
      <c r="M44" s="5">
        <v>1.5907500000000001</v>
      </c>
      <c r="N44" s="3">
        <v>195</v>
      </c>
      <c r="O44" s="10">
        <v>22</v>
      </c>
      <c r="P44" s="10">
        <v>89</v>
      </c>
      <c r="Q44" s="5">
        <v>0.24719101123595505</v>
      </c>
      <c r="R44" s="5">
        <v>0.19</v>
      </c>
      <c r="S44" s="5">
        <v>1.301005</v>
      </c>
      <c r="T44" s="3">
        <v>285</v>
      </c>
      <c r="U44" s="10">
        <v>4</v>
      </c>
      <c r="V44" s="10">
        <v>89</v>
      </c>
      <c r="W44" s="5">
        <v>4.49438202247191E-2</v>
      </c>
      <c r="X44" s="5">
        <v>0.05</v>
      </c>
      <c r="Y44" s="5">
        <v>0.89885999999999999</v>
      </c>
      <c r="Z44" s="3">
        <v>274</v>
      </c>
      <c r="AA44" s="11">
        <v>1.0833330000000001</v>
      </c>
      <c r="AB44" s="3">
        <v>733</v>
      </c>
      <c r="AC44">
        <v>10</v>
      </c>
      <c r="AD44" s="3">
        <v>1</v>
      </c>
      <c r="AE44">
        <v>2</v>
      </c>
      <c r="AF44">
        <v>17</v>
      </c>
      <c r="AG44" s="5">
        <v>0.11764705882352941</v>
      </c>
      <c r="AH44" s="5">
        <v>0.1</v>
      </c>
      <c r="AI44" s="5">
        <v>1.1764699999999999</v>
      </c>
      <c r="AJ44" s="3">
        <v>433</v>
      </c>
      <c r="AK44" s="5">
        <v>0.26190466666666667</v>
      </c>
      <c r="AL44" s="5">
        <v>0.4</v>
      </c>
      <c r="AM44" s="5">
        <v>0.65476000000000001</v>
      </c>
      <c r="AN44" s="3">
        <v>807</v>
      </c>
      <c r="AO44">
        <v>7</v>
      </c>
      <c r="AP44">
        <v>11</v>
      </c>
      <c r="AQ44" s="5">
        <v>0.63636363636363635</v>
      </c>
      <c r="AR44" s="5">
        <v>0.8</v>
      </c>
      <c r="AS44" s="5">
        <v>0.79545299999999997</v>
      </c>
      <c r="AT44" s="5">
        <v>705</v>
      </c>
    </row>
    <row r="45" spans="1:46" hidden="1">
      <c r="A45" s="4" t="str">
        <f>_xlfn.XLOOKUP(Table13[[#This Row],[SAP]],'Location List'!B:B,'Location List'!G:G)</f>
        <v>MO/IA/NE</v>
      </c>
      <c r="B45" s="4" t="str">
        <f>LEFT(Table13[[#This Row],[Sap: Loaction]],4)</f>
        <v>4ASM</v>
      </c>
      <c r="C45" s="4" t="str">
        <f>_xlfn.XLOOKUP(Table13[[#This Row],[Employee]],'Location List'!M:M,'Location List'!N:N,"",0)</f>
        <v/>
      </c>
      <c r="D45" t="s">
        <v>973</v>
      </c>
      <c r="E45" t="s">
        <v>637</v>
      </c>
      <c r="F45" t="s">
        <v>492</v>
      </c>
      <c r="G45" s="3">
        <v>1</v>
      </c>
      <c r="H45" s="3">
        <v>225</v>
      </c>
      <c r="I45">
        <v>404.65</v>
      </c>
      <c r="J45" t="s">
        <v>454</v>
      </c>
      <c r="K45" s="6">
        <v>99.45</v>
      </c>
      <c r="L45" s="6">
        <v>40</v>
      </c>
      <c r="M45" s="5">
        <v>2.4862500000000001</v>
      </c>
      <c r="N45" s="3">
        <v>35</v>
      </c>
      <c r="O45" s="10">
        <v>34</v>
      </c>
      <c r="P45" s="10">
        <v>115</v>
      </c>
      <c r="Q45" s="5">
        <v>0.29565217391304349</v>
      </c>
      <c r="R45" s="5">
        <v>0.19</v>
      </c>
      <c r="S45" s="5">
        <v>1.556063</v>
      </c>
      <c r="T45" s="3">
        <v>186</v>
      </c>
      <c r="U45" s="10">
        <v>2</v>
      </c>
      <c r="V45" s="10">
        <v>115</v>
      </c>
      <c r="W45" s="5">
        <v>1.7391304347826087E-2</v>
      </c>
      <c r="X45" s="5">
        <v>0.05</v>
      </c>
      <c r="Y45" s="5">
        <v>0.34782000000000002</v>
      </c>
      <c r="Z45" s="3">
        <v>736</v>
      </c>
      <c r="AA45" s="11">
        <v>0.71428499999999995</v>
      </c>
      <c r="AB45" s="3">
        <v>1028</v>
      </c>
      <c r="AC45">
        <v>10</v>
      </c>
      <c r="AD45" s="3">
        <v>1</v>
      </c>
      <c r="AE45">
        <v>0</v>
      </c>
      <c r="AF45">
        <v>19</v>
      </c>
      <c r="AG45" s="5">
        <v>0</v>
      </c>
      <c r="AH45" s="5">
        <v>0.1</v>
      </c>
      <c r="AI45" s="5">
        <v>0</v>
      </c>
      <c r="AJ45" s="3">
        <v>696</v>
      </c>
      <c r="AK45" s="5">
        <v>0.25</v>
      </c>
      <c r="AL45" s="5">
        <v>0.4</v>
      </c>
      <c r="AM45" s="5">
        <v>0.625</v>
      </c>
      <c r="AN45" s="3">
        <v>812</v>
      </c>
      <c r="AO45">
        <v>12</v>
      </c>
      <c r="AP45">
        <v>12</v>
      </c>
      <c r="AQ45" s="5">
        <v>1</v>
      </c>
      <c r="AR45" s="5">
        <v>0.8</v>
      </c>
      <c r="AS45" s="5">
        <v>1.25</v>
      </c>
      <c r="AT45" s="5">
        <v>1</v>
      </c>
    </row>
    <row r="46" spans="1:46" hidden="1">
      <c r="A46" s="4" t="str">
        <f>_xlfn.XLOOKUP(Table13[[#This Row],[SAP]],'Location List'!B:B,'Location List'!G:G)</f>
        <v>SA SOUTH</v>
      </c>
      <c r="B46" s="4" t="str">
        <f>LEFT(Table13[[#This Row],[Sap: Loaction]],4)</f>
        <v>1ESF</v>
      </c>
      <c r="C46" s="4" t="str">
        <f>_xlfn.XLOOKUP(Table13[[#This Row],[Employee]],'Location List'!M:M,'Location List'!N:N,"",0)</f>
        <v/>
      </c>
      <c r="D46" t="s">
        <v>973</v>
      </c>
      <c r="E46" t="s">
        <v>924</v>
      </c>
      <c r="F46" t="s">
        <v>568</v>
      </c>
      <c r="G46" s="3">
        <v>1</v>
      </c>
      <c r="H46" s="3">
        <v>229</v>
      </c>
      <c r="I46">
        <v>405.65</v>
      </c>
      <c r="J46" t="s">
        <v>454</v>
      </c>
      <c r="K46" s="6">
        <v>38.42</v>
      </c>
      <c r="L46" s="6">
        <v>40</v>
      </c>
      <c r="M46" s="5">
        <v>0.96050000000000002</v>
      </c>
      <c r="N46" s="3">
        <v>522</v>
      </c>
      <c r="O46" s="10">
        <v>19</v>
      </c>
      <c r="P46" s="10">
        <v>81</v>
      </c>
      <c r="Q46" s="5">
        <v>0.23456790123456789</v>
      </c>
      <c r="R46" s="5">
        <v>0.19</v>
      </c>
      <c r="S46" s="5">
        <v>1.2345630000000001</v>
      </c>
      <c r="T46" s="3">
        <v>331</v>
      </c>
      <c r="U46" s="10">
        <v>2</v>
      </c>
      <c r="V46" s="10">
        <v>81</v>
      </c>
      <c r="W46" s="5">
        <v>2.4691358024691357E-2</v>
      </c>
      <c r="X46" s="5">
        <v>0.05</v>
      </c>
      <c r="Y46" s="5">
        <v>0.49381999999999998</v>
      </c>
      <c r="Z46" s="3">
        <v>546</v>
      </c>
      <c r="AA46" s="11">
        <v>1.454545</v>
      </c>
      <c r="AB46" s="3">
        <v>483</v>
      </c>
      <c r="AC46">
        <v>0</v>
      </c>
      <c r="AD46" s="3">
        <v>75</v>
      </c>
      <c r="AE46">
        <v>1</v>
      </c>
      <c r="AF46">
        <v>4</v>
      </c>
      <c r="AG46" s="5">
        <v>0.25</v>
      </c>
      <c r="AH46" s="5">
        <v>0.1</v>
      </c>
      <c r="AI46" s="5">
        <v>2.5</v>
      </c>
      <c r="AJ46" s="3">
        <v>191</v>
      </c>
      <c r="AK46" s="5">
        <v>0.43939366666666668</v>
      </c>
      <c r="AL46" s="5">
        <v>0.4</v>
      </c>
      <c r="AM46" s="5">
        <v>1.098482</v>
      </c>
      <c r="AN46" s="3">
        <v>515</v>
      </c>
      <c r="AO46">
        <v>5</v>
      </c>
      <c r="AP46">
        <v>8</v>
      </c>
      <c r="AQ46" s="5">
        <v>0.625</v>
      </c>
      <c r="AR46" s="5">
        <v>0.8</v>
      </c>
      <c r="AS46" s="5">
        <v>0.78125</v>
      </c>
      <c r="AT46" s="5">
        <v>706</v>
      </c>
    </row>
    <row r="47" spans="1:46" hidden="1">
      <c r="A47" s="4" t="str">
        <f>_xlfn.XLOOKUP(Table13[[#This Row],[SAP]],'Location List'!B:B,'Location List'!G:G)</f>
        <v>SA SOUTH</v>
      </c>
      <c r="B47" s="4" t="str">
        <f>LEFT(Table13[[#This Row],[Sap: Loaction]],4)</f>
        <v>2074</v>
      </c>
      <c r="C47" s="4" t="str">
        <f>_xlfn.XLOOKUP(Table13[[#This Row],[Employee]],'Location List'!M:M,'Location List'!N:N,"",0)</f>
        <v/>
      </c>
      <c r="D47" t="s">
        <v>973</v>
      </c>
      <c r="E47" t="s">
        <v>934</v>
      </c>
      <c r="F47" t="s">
        <v>512</v>
      </c>
      <c r="G47" s="3">
        <v>1</v>
      </c>
      <c r="H47" s="3">
        <v>230</v>
      </c>
      <c r="I47">
        <v>405.8</v>
      </c>
      <c r="J47" t="s">
        <v>454</v>
      </c>
      <c r="K47" s="6">
        <v>52.94</v>
      </c>
      <c r="L47" s="6">
        <v>40</v>
      </c>
      <c r="M47" s="5">
        <v>1.3234999999999999</v>
      </c>
      <c r="N47" s="3">
        <v>310</v>
      </c>
      <c r="O47" s="10">
        <v>18</v>
      </c>
      <c r="P47" s="10">
        <v>159</v>
      </c>
      <c r="Q47" s="5">
        <v>0.11320754716981132</v>
      </c>
      <c r="R47" s="5">
        <v>0.19</v>
      </c>
      <c r="S47" s="5">
        <v>0.59582599999999997</v>
      </c>
      <c r="T47" s="3">
        <v>906</v>
      </c>
      <c r="U47" s="10">
        <v>3</v>
      </c>
      <c r="V47" s="10">
        <v>159</v>
      </c>
      <c r="W47" s="5">
        <v>1.8867924528301886E-2</v>
      </c>
      <c r="X47" s="5">
        <v>0.05</v>
      </c>
      <c r="Y47" s="5">
        <v>0.37734000000000001</v>
      </c>
      <c r="Z47" s="3">
        <v>692</v>
      </c>
      <c r="AA47" s="11">
        <v>1.375</v>
      </c>
      <c r="AB47" s="3">
        <v>534</v>
      </c>
      <c r="AC47">
        <v>10</v>
      </c>
      <c r="AD47" s="3">
        <v>1</v>
      </c>
      <c r="AE47">
        <v>1</v>
      </c>
      <c r="AF47">
        <v>5</v>
      </c>
      <c r="AG47" s="5">
        <v>0.2</v>
      </c>
      <c r="AH47" s="5">
        <v>0.1</v>
      </c>
      <c r="AI47" s="5">
        <v>2</v>
      </c>
      <c r="AJ47" s="3">
        <v>256</v>
      </c>
      <c r="AK47" s="5">
        <v>0.66666666666666663</v>
      </c>
      <c r="AL47" s="5">
        <v>0.4</v>
      </c>
      <c r="AM47" s="5">
        <v>1.6666650000000001</v>
      </c>
      <c r="AN47" s="3">
        <v>169</v>
      </c>
      <c r="AO47">
        <v>2</v>
      </c>
      <c r="AP47">
        <v>2</v>
      </c>
      <c r="AQ47" s="5">
        <v>1</v>
      </c>
      <c r="AR47" s="5">
        <v>0.8</v>
      </c>
      <c r="AS47" s="5">
        <v>1.25</v>
      </c>
      <c r="AT47" s="5">
        <v>1</v>
      </c>
    </row>
    <row r="48" spans="1:46">
      <c r="A48" s="4" t="str">
        <f>_xlfn.XLOOKUP(Table13[[#This Row],[SAP]],'Location List'!B:B,'Location List'!G:G)</f>
        <v>DFW EAST</v>
      </c>
      <c r="B48" s="4" t="str">
        <f>LEFT(Table13[[#This Row],[Sap: Loaction]],4)</f>
        <v>0115</v>
      </c>
      <c r="C48" s="4" t="str">
        <f>_xlfn.XLOOKUP(Table13[[#This Row],[Employee]],'Location List'!M:M,'Location List'!N:N,"",0)</f>
        <v/>
      </c>
      <c r="D48" t="s">
        <v>973</v>
      </c>
      <c r="E48" t="s">
        <v>642</v>
      </c>
      <c r="F48" t="s">
        <v>530</v>
      </c>
      <c r="G48" s="3">
        <v>1</v>
      </c>
      <c r="H48" s="3">
        <v>232</v>
      </c>
      <c r="I48">
        <v>405.85</v>
      </c>
      <c r="J48" t="s">
        <v>454</v>
      </c>
      <c r="K48" s="6">
        <v>67.180000000000007</v>
      </c>
      <c r="L48" s="6">
        <v>40.000000000000007</v>
      </c>
      <c r="M48" s="5">
        <v>1.6795</v>
      </c>
      <c r="N48" s="3">
        <v>159</v>
      </c>
      <c r="O48" s="10">
        <v>21</v>
      </c>
      <c r="P48" s="10">
        <v>80</v>
      </c>
      <c r="Q48" s="5">
        <v>0.26250000000000001</v>
      </c>
      <c r="R48" s="5">
        <v>0.19</v>
      </c>
      <c r="S48" s="5">
        <v>1.381578</v>
      </c>
      <c r="T48" s="3">
        <v>243</v>
      </c>
      <c r="U48" s="10">
        <v>1</v>
      </c>
      <c r="V48" s="10">
        <v>80</v>
      </c>
      <c r="W48" s="5">
        <v>1.2500000000000001E-2</v>
      </c>
      <c r="X48" s="5">
        <v>0.05</v>
      </c>
      <c r="Y48" s="5">
        <v>0.25</v>
      </c>
      <c r="Z48" s="3">
        <v>875</v>
      </c>
      <c r="AA48" s="11">
        <v>2.1428569999999998</v>
      </c>
      <c r="AB48" s="3">
        <v>195</v>
      </c>
      <c r="AC48">
        <v>10</v>
      </c>
      <c r="AD48" s="3">
        <v>1</v>
      </c>
      <c r="AE48">
        <v>1</v>
      </c>
      <c r="AF48">
        <v>14</v>
      </c>
      <c r="AG48" s="5">
        <v>7.1428571428571425E-2</v>
      </c>
      <c r="AH48" s="5">
        <v>0.1</v>
      </c>
      <c r="AI48" s="5">
        <v>0.71428000000000003</v>
      </c>
      <c r="AJ48" s="3">
        <v>574</v>
      </c>
      <c r="AK48" s="5">
        <v>0.44444433333333339</v>
      </c>
      <c r="AL48" s="5">
        <v>0.4</v>
      </c>
      <c r="AM48" s="5">
        <v>1.11111</v>
      </c>
      <c r="AN48" s="3">
        <v>500</v>
      </c>
      <c r="AQ48" s="5"/>
      <c r="AR48" s="5">
        <v>0.8</v>
      </c>
      <c r="AS48" s="5">
        <v>0</v>
      </c>
      <c r="AT48" s="5">
        <v>902</v>
      </c>
    </row>
    <row r="49" spans="1:46" hidden="1">
      <c r="A49" s="4" t="str">
        <f>_xlfn.XLOOKUP(Table13[[#This Row],[SAP]],'Location List'!B:B,'Location List'!G:G)</f>
        <v>MO/IA/NE</v>
      </c>
      <c r="B49" s="4" t="str">
        <f>LEFT(Table13[[#This Row],[Sap: Loaction]],4)</f>
        <v>4ASP</v>
      </c>
      <c r="C49" s="4" t="str">
        <f>_xlfn.XLOOKUP(Table13[[#This Row],[Employee]],'Location List'!M:M,'Location List'!N:N,"",0)</f>
        <v/>
      </c>
      <c r="D49" t="s">
        <v>973</v>
      </c>
      <c r="E49" t="s">
        <v>726</v>
      </c>
      <c r="F49" t="s">
        <v>536</v>
      </c>
      <c r="G49" s="3">
        <v>1</v>
      </c>
      <c r="H49" s="3">
        <v>233</v>
      </c>
      <c r="I49">
        <v>406.05</v>
      </c>
      <c r="J49" t="s">
        <v>454</v>
      </c>
      <c r="K49" s="6">
        <v>43.39</v>
      </c>
      <c r="L49" s="6">
        <v>40</v>
      </c>
      <c r="M49" s="5">
        <v>1.0847500000000001</v>
      </c>
      <c r="N49" s="3">
        <v>439</v>
      </c>
      <c r="O49" s="10">
        <v>14</v>
      </c>
      <c r="P49" s="10">
        <v>60</v>
      </c>
      <c r="Q49" s="5">
        <v>0.23333333333333334</v>
      </c>
      <c r="R49" s="5">
        <v>0.19</v>
      </c>
      <c r="S49" s="5">
        <v>1.2280679999999999</v>
      </c>
      <c r="T49" s="3">
        <v>336</v>
      </c>
      <c r="U49" s="10">
        <v>5</v>
      </c>
      <c r="V49" s="10">
        <v>60</v>
      </c>
      <c r="W49" s="5">
        <v>8.3333333333333329E-2</v>
      </c>
      <c r="X49" s="5">
        <v>0.05</v>
      </c>
      <c r="Y49" s="5">
        <v>1.66666</v>
      </c>
      <c r="Z49" s="3">
        <v>49</v>
      </c>
      <c r="AA49" s="11">
        <v>1.1538459999999999</v>
      </c>
      <c r="AB49" s="3">
        <v>680</v>
      </c>
      <c r="AC49">
        <v>10</v>
      </c>
      <c r="AD49" s="3">
        <v>1</v>
      </c>
      <c r="AE49">
        <v>0</v>
      </c>
      <c r="AF49">
        <v>6</v>
      </c>
      <c r="AG49" s="5">
        <v>0</v>
      </c>
      <c r="AH49" s="5">
        <v>0.1</v>
      </c>
      <c r="AI49" s="5">
        <v>0</v>
      </c>
      <c r="AJ49" s="3">
        <v>696</v>
      </c>
      <c r="AK49" s="5">
        <v>0.17777766666666664</v>
      </c>
      <c r="AL49" s="5">
        <v>0.4</v>
      </c>
      <c r="AM49" s="5">
        <v>0.444442</v>
      </c>
      <c r="AN49" s="3">
        <v>955</v>
      </c>
      <c r="AO49">
        <v>4</v>
      </c>
      <c r="AP49">
        <v>4</v>
      </c>
      <c r="AQ49" s="5">
        <v>1</v>
      </c>
      <c r="AR49" s="5">
        <v>0.8</v>
      </c>
      <c r="AS49" s="5">
        <v>1.25</v>
      </c>
      <c r="AT49" s="5">
        <v>1</v>
      </c>
    </row>
    <row r="50" spans="1:46" hidden="1">
      <c r="A50" s="4" t="str">
        <f>_xlfn.XLOOKUP(Table13[[#This Row],[SAP]],'Location List'!B:B,'Location List'!G:G)</f>
        <v>CENTRAL TEXAS</v>
      </c>
      <c r="B50" s="4" t="str">
        <f>LEFT(Table13[[#This Row],[Sap: Loaction]],4)</f>
        <v>961F</v>
      </c>
      <c r="C50" s="4" t="str">
        <f>_xlfn.XLOOKUP(Table13[[#This Row],[Employee]],'Location List'!M:M,'Location List'!N:N,"",0)</f>
        <v>RSM</v>
      </c>
      <c r="D50" t="s">
        <v>973</v>
      </c>
      <c r="E50" t="s">
        <v>628</v>
      </c>
      <c r="F50" t="s">
        <v>547</v>
      </c>
      <c r="G50" s="3">
        <v>1</v>
      </c>
      <c r="H50" s="3">
        <v>233</v>
      </c>
      <c r="I50">
        <v>406.05</v>
      </c>
      <c r="J50" t="s">
        <v>454</v>
      </c>
      <c r="K50" s="6">
        <v>42.48</v>
      </c>
      <c r="L50" s="6">
        <v>35</v>
      </c>
      <c r="M50" s="5">
        <v>1.2137142857142857</v>
      </c>
      <c r="N50" s="3">
        <v>359</v>
      </c>
      <c r="O50" s="10">
        <v>14</v>
      </c>
      <c r="P50" s="10">
        <v>27</v>
      </c>
      <c r="Q50" s="5">
        <v>0.51851851851851849</v>
      </c>
      <c r="R50" s="5">
        <v>0.19</v>
      </c>
      <c r="S50" s="5">
        <v>2.7290420000000002</v>
      </c>
      <c r="T50" s="3">
        <v>27</v>
      </c>
      <c r="U50" s="10">
        <v>0</v>
      </c>
      <c r="V50" s="10">
        <v>27</v>
      </c>
      <c r="W50" s="5">
        <v>0</v>
      </c>
      <c r="X50" s="5">
        <v>0.05</v>
      </c>
      <c r="Y50" s="5">
        <v>0</v>
      </c>
      <c r="Z50" s="3">
        <v>994</v>
      </c>
      <c r="AA50" s="11">
        <v>0.71428499999999995</v>
      </c>
      <c r="AB50" s="3">
        <v>1028</v>
      </c>
      <c r="AC50">
        <v>0</v>
      </c>
      <c r="AD50" s="3">
        <v>75</v>
      </c>
      <c r="AE50">
        <v>0</v>
      </c>
      <c r="AF50">
        <v>3</v>
      </c>
      <c r="AG50" s="5">
        <v>0</v>
      </c>
      <c r="AH50" s="5">
        <v>0.1</v>
      </c>
      <c r="AI50" s="5">
        <v>0</v>
      </c>
      <c r="AJ50" s="3">
        <v>696</v>
      </c>
      <c r="AK50" s="5">
        <v>0.5</v>
      </c>
      <c r="AL50" s="5">
        <v>0.4</v>
      </c>
      <c r="AM50" s="5">
        <v>1.25</v>
      </c>
      <c r="AN50" s="3">
        <v>326</v>
      </c>
      <c r="AO50">
        <v>7</v>
      </c>
      <c r="AP50">
        <v>7</v>
      </c>
      <c r="AQ50" s="5">
        <v>1</v>
      </c>
      <c r="AR50" s="5">
        <v>0.8</v>
      </c>
      <c r="AS50" s="5">
        <v>1.25</v>
      </c>
      <c r="AT50" s="5">
        <v>1</v>
      </c>
    </row>
    <row r="51" spans="1:46" hidden="1">
      <c r="A51" s="4" t="str">
        <f>_xlfn.XLOOKUP(Table13[[#This Row],[SAP]],'Location List'!B:B,'Location List'!G:G)</f>
        <v>SOUTH TX/RGV</v>
      </c>
      <c r="B51" s="4" t="str">
        <f>LEFT(Table13[[#This Row],[Sap: Loaction]],4)</f>
        <v>5DSX</v>
      </c>
      <c r="C51" s="4" t="str">
        <f>_xlfn.XLOOKUP(Table13[[#This Row],[Employee]],'Location List'!M:M,'Location List'!N:N,"",0)</f>
        <v/>
      </c>
      <c r="D51" t="s">
        <v>973</v>
      </c>
      <c r="E51" t="s">
        <v>719</v>
      </c>
      <c r="F51" t="s">
        <v>570</v>
      </c>
      <c r="G51" s="3">
        <v>1</v>
      </c>
      <c r="H51" s="3">
        <v>236</v>
      </c>
      <c r="I51">
        <v>406.2</v>
      </c>
      <c r="J51" t="s">
        <v>454</v>
      </c>
      <c r="K51" s="6">
        <v>35.69</v>
      </c>
      <c r="L51" s="6">
        <v>40</v>
      </c>
      <c r="M51" s="5">
        <v>0.89224999999999999</v>
      </c>
      <c r="N51" s="3">
        <v>570</v>
      </c>
      <c r="O51" s="10">
        <v>24</v>
      </c>
      <c r="P51" s="10">
        <v>92</v>
      </c>
      <c r="Q51" s="5">
        <v>0.2608695652173913</v>
      </c>
      <c r="R51" s="5">
        <v>0.19</v>
      </c>
      <c r="S51" s="5">
        <v>1.372994</v>
      </c>
      <c r="T51" s="3">
        <v>246</v>
      </c>
      <c r="U51" s="10">
        <v>3</v>
      </c>
      <c r="V51" s="10">
        <v>92</v>
      </c>
      <c r="W51" s="5">
        <v>3.2608695652173912E-2</v>
      </c>
      <c r="X51" s="5">
        <v>0.05</v>
      </c>
      <c r="Y51" s="5">
        <v>0.65215999999999996</v>
      </c>
      <c r="Z51" s="3">
        <v>411</v>
      </c>
      <c r="AA51" s="11">
        <v>0.85714199999999996</v>
      </c>
      <c r="AB51" s="3">
        <v>905</v>
      </c>
      <c r="AC51">
        <v>10</v>
      </c>
      <c r="AD51" s="3">
        <v>1</v>
      </c>
      <c r="AE51">
        <v>1</v>
      </c>
      <c r="AF51">
        <v>13</v>
      </c>
      <c r="AG51" s="5">
        <v>7.6923076923076927E-2</v>
      </c>
      <c r="AH51" s="5">
        <v>0.1</v>
      </c>
      <c r="AI51" s="5">
        <v>0.76922999999999997</v>
      </c>
      <c r="AJ51" s="3">
        <v>554</v>
      </c>
      <c r="AK51" s="5">
        <v>0.38888866666666666</v>
      </c>
      <c r="AL51" s="5">
        <v>0.4</v>
      </c>
      <c r="AM51" s="5">
        <v>0.97221999999999997</v>
      </c>
      <c r="AN51" s="3">
        <v>566</v>
      </c>
      <c r="AO51">
        <v>1</v>
      </c>
      <c r="AP51">
        <v>1</v>
      </c>
      <c r="AQ51" s="5">
        <v>1</v>
      </c>
      <c r="AR51" s="5">
        <v>0.8</v>
      </c>
      <c r="AS51" s="5">
        <v>1.25</v>
      </c>
      <c r="AT51" s="5">
        <v>1</v>
      </c>
    </row>
    <row r="52" spans="1:46" hidden="1">
      <c r="A52" s="4" t="str">
        <f>_xlfn.XLOOKUP(Table13[[#This Row],[SAP]],'Location List'!B:B,'Location List'!G:G)</f>
        <v>MO/IA/NE</v>
      </c>
      <c r="B52" s="4" t="str">
        <f>LEFT(Table13[[#This Row],[Sap: Loaction]],4)</f>
        <v>3ISS</v>
      </c>
      <c r="C52" s="4" t="str">
        <f>_xlfn.XLOOKUP(Table13[[#This Row],[Employee]],'Location List'!M:M,'Location List'!N:N,"",0)</f>
        <v/>
      </c>
      <c r="D52" t="s">
        <v>973</v>
      </c>
      <c r="E52" t="s">
        <v>916</v>
      </c>
      <c r="F52" t="s">
        <v>561</v>
      </c>
      <c r="G52" s="3">
        <v>1</v>
      </c>
      <c r="H52" s="3">
        <v>236</v>
      </c>
      <c r="I52">
        <v>406.2</v>
      </c>
      <c r="J52" t="s">
        <v>454</v>
      </c>
      <c r="K52" s="6">
        <v>43.03</v>
      </c>
      <c r="L52" s="6">
        <v>30.000000000000004</v>
      </c>
      <c r="M52" s="5">
        <v>1.4343333333333332</v>
      </c>
      <c r="N52" s="3">
        <v>260</v>
      </c>
      <c r="O52" s="10">
        <v>20</v>
      </c>
      <c r="P52" s="10">
        <v>116</v>
      </c>
      <c r="Q52" s="5">
        <v>0.17241379310344829</v>
      </c>
      <c r="R52" s="5">
        <v>0.19</v>
      </c>
      <c r="S52" s="5">
        <v>0.90743600000000002</v>
      </c>
      <c r="T52" s="3">
        <v>581</v>
      </c>
      <c r="U52" s="10">
        <v>3</v>
      </c>
      <c r="V52" s="10">
        <v>116</v>
      </c>
      <c r="W52" s="5">
        <v>2.5862068965517241E-2</v>
      </c>
      <c r="X52" s="5">
        <v>0.05</v>
      </c>
      <c r="Y52" s="5">
        <v>0.51724000000000003</v>
      </c>
      <c r="Z52" s="3">
        <v>520</v>
      </c>
      <c r="AA52" s="11">
        <v>0.54545399999999999</v>
      </c>
      <c r="AB52" s="3">
        <v>1162</v>
      </c>
      <c r="AC52">
        <v>7</v>
      </c>
      <c r="AD52" s="3">
        <v>46</v>
      </c>
      <c r="AE52">
        <v>4</v>
      </c>
      <c r="AF52">
        <v>31</v>
      </c>
      <c r="AG52" s="5">
        <v>0.12903225806451613</v>
      </c>
      <c r="AH52" s="5">
        <v>0.1</v>
      </c>
      <c r="AI52" s="5">
        <v>1.2903199999999999</v>
      </c>
      <c r="AJ52" s="3">
        <v>408</v>
      </c>
      <c r="AK52" s="5">
        <v>0.66666633333333336</v>
      </c>
      <c r="AL52" s="5">
        <v>0.4</v>
      </c>
      <c r="AM52" s="5">
        <v>1.6666650000000001</v>
      </c>
      <c r="AN52" s="3">
        <v>169</v>
      </c>
      <c r="AO52">
        <v>3</v>
      </c>
      <c r="AP52">
        <v>3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SOUTH TX/RGV</v>
      </c>
      <c r="B53" s="4" t="str">
        <f>LEFT(Table13[[#This Row],[Sap: Loaction]],4)</f>
        <v>216E</v>
      </c>
      <c r="C53" s="4" t="str">
        <f>_xlfn.XLOOKUP(Table13[[#This Row],[Employee]],'Location List'!M:M,'Location List'!N:N,"",0)</f>
        <v/>
      </c>
      <c r="D53" t="s">
        <v>973</v>
      </c>
      <c r="E53" t="s">
        <v>717</v>
      </c>
      <c r="F53" t="s">
        <v>560</v>
      </c>
      <c r="G53" s="3">
        <v>1</v>
      </c>
      <c r="H53" s="3">
        <v>243</v>
      </c>
      <c r="I53">
        <v>410.6</v>
      </c>
      <c r="J53" t="s">
        <v>454</v>
      </c>
      <c r="K53" s="6">
        <v>62.91</v>
      </c>
      <c r="L53" s="6">
        <v>39.999999999999993</v>
      </c>
      <c r="M53" s="5">
        <v>1.5727500000000001</v>
      </c>
      <c r="N53" s="3">
        <v>201</v>
      </c>
      <c r="O53" s="10">
        <v>19</v>
      </c>
      <c r="P53" s="10">
        <v>110</v>
      </c>
      <c r="Q53" s="5">
        <v>0.17272727272727273</v>
      </c>
      <c r="R53" s="5">
        <v>0.19</v>
      </c>
      <c r="S53" s="5">
        <v>0.90908900000000004</v>
      </c>
      <c r="T53" s="3">
        <v>579</v>
      </c>
      <c r="U53" s="10">
        <v>6</v>
      </c>
      <c r="V53" s="10">
        <v>110</v>
      </c>
      <c r="W53" s="5">
        <v>5.4545454545454543E-2</v>
      </c>
      <c r="X53" s="5">
        <v>0.05</v>
      </c>
      <c r="Y53" s="5">
        <v>1.0909</v>
      </c>
      <c r="Z53" s="3">
        <v>179</v>
      </c>
      <c r="AA53" s="11">
        <v>1.473684</v>
      </c>
      <c r="AB53" s="3">
        <v>478</v>
      </c>
      <c r="AC53">
        <v>5</v>
      </c>
      <c r="AD53" s="3">
        <v>62</v>
      </c>
      <c r="AE53">
        <v>1</v>
      </c>
      <c r="AF53">
        <v>34</v>
      </c>
      <c r="AG53" s="5">
        <v>2.9411764705882353E-2</v>
      </c>
      <c r="AH53" s="5">
        <v>0.1</v>
      </c>
      <c r="AI53" s="5">
        <v>0.29410999999999998</v>
      </c>
      <c r="AJ53" s="3">
        <v>691</v>
      </c>
      <c r="AK53" s="5">
        <v>0.22619033333333335</v>
      </c>
      <c r="AL53" s="5">
        <v>0.4</v>
      </c>
      <c r="AM53" s="5">
        <v>0.56547499999999995</v>
      </c>
      <c r="AN53" s="3">
        <v>890</v>
      </c>
      <c r="AO53">
        <v>4</v>
      </c>
      <c r="AP53">
        <v>4</v>
      </c>
      <c r="AQ53" s="5">
        <v>1</v>
      </c>
      <c r="AR53" s="5">
        <v>0.8</v>
      </c>
      <c r="AS53" s="5">
        <v>1.25</v>
      </c>
      <c r="AT53" s="5">
        <v>1</v>
      </c>
    </row>
    <row r="54" spans="1:46" hidden="1">
      <c r="A54" s="4" t="str">
        <f>_xlfn.XLOOKUP(Table13[[#This Row],[SAP]],'Location List'!B:B,'Location List'!G:G)</f>
        <v>SA/HILL COUNTRY</v>
      </c>
      <c r="B54" s="4" t="str">
        <f>LEFT(Table13[[#This Row],[Sap: Loaction]],4)</f>
        <v>776D</v>
      </c>
      <c r="C54" s="4" t="str">
        <f>_xlfn.XLOOKUP(Table13[[#This Row],[Employee]],'Location List'!M:M,'Location List'!N:N,"",0)</f>
        <v>RSM</v>
      </c>
      <c r="D54" t="s">
        <v>973</v>
      </c>
      <c r="E54" t="s">
        <v>619</v>
      </c>
      <c r="F54" t="s">
        <v>516</v>
      </c>
      <c r="G54" s="3">
        <v>1</v>
      </c>
      <c r="H54" s="3">
        <v>245</v>
      </c>
      <c r="I54">
        <v>410.9</v>
      </c>
      <c r="J54" t="s">
        <v>454</v>
      </c>
      <c r="K54" s="6">
        <v>-41.59</v>
      </c>
      <c r="L54" s="6">
        <v>35</v>
      </c>
      <c r="M54" s="5">
        <v>-1.1882857142857144</v>
      </c>
      <c r="N54" s="3">
        <v>1440</v>
      </c>
      <c r="O54" s="10">
        <v>5</v>
      </c>
      <c r="P54" s="10">
        <v>14</v>
      </c>
      <c r="Q54" s="5">
        <v>0.35714285714285715</v>
      </c>
      <c r="R54" s="5">
        <v>0.19</v>
      </c>
      <c r="S54" s="5">
        <v>1.879694</v>
      </c>
      <c r="T54" s="3">
        <v>104</v>
      </c>
      <c r="U54" s="10">
        <v>1</v>
      </c>
      <c r="V54" s="10">
        <v>14</v>
      </c>
      <c r="W54" s="5">
        <v>7.1428571428571425E-2</v>
      </c>
      <c r="X54" s="5">
        <v>0.05</v>
      </c>
      <c r="Y54" s="5">
        <v>1.4285600000000001</v>
      </c>
      <c r="Z54" s="3">
        <v>85</v>
      </c>
      <c r="AA54" s="11">
        <v>2</v>
      </c>
      <c r="AB54" s="3">
        <v>210</v>
      </c>
      <c r="AC54">
        <v>0</v>
      </c>
      <c r="AD54" s="3">
        <v>75</v>
      </c>
      <c r="AE54">
        <v>0</v>
      </c>
      <c r="AF54">
        <v>5</v>
      </c>
      <c r="AG54" s="5">
        <v>0</v>
      </c>
      <c r="AH54" s="5">
        <v>0.1</v>
      </c>
      <c r="AI54" s="5">
        <v>0</v>
      </c>
      <c r="AJ54" s="3">
        <v>696</v>
      </c>
      <c r="AK54" s="5">
        <v>0.5</v>
      </c>
      <c r="AL54" s="5">
        <v>0.4</v>
      </c>
      <c r="AM54" s="5">
        <v>1.25</v>
      </c>
      <c r="AN54" s="3">
        <v>326</v>
      </c>
      <c r="AO54">
        <v>1</v>
      </c>
      <c r="AP54">
        <v>1</v>
      </c>
      <c r="AQ54" s="5">
        <v>1</v>
      </c>
      <c r="AR54" s="5">
        <v>0.8</v>
      </c>
      <c r="AS54" s="5">
        <v>1.25</v>
      </c>
      <c r="AT54" s="5">
        <v>1</v>
      </c>
    </row>
    <row r="55" spans="1:46" hidden="1">
      <c r="A55" s="4" t="str">
        <f>_xlfn.XLOOKUP(Table13[[#This Row],[SAP]],'Location List'!B:B,'Location List'!G:G)</f>
        <v>KS/OK</v>
      </c>
      <c r="B55" s="4" t="str">
        <f>LEFT(Table13[[#This Row],[Sap: Loaction]],4)</f>
        <v>4781</v>
      </c>
      <c r="C55" s="4" t="str">
        <f>_xlfn.XLOOKUP(Table13[[#This Row],[Employee]],'Location List'!M:M,'Location List'!N:N,"",0)</f>
        <v/>
      </c>
      <c r="D55" t="s">
        <v>973</v>
      </c>
      <c r="E55" t="s">
        <v>598</v>
      </c>
      <c r="F55" t="s">
        <v>495</v>
      </c>
      <c r="G55" s="3">
        <v>1</v>
      </c>
      <c r="H55" s="3">
        <v>249</v>
      </c>
      <c r="I55">
        <v>412.05</v>
      </c>
      <c r="J55" t="s">
        <v>454</v>
      </c>
      <c r="K55" s="6">
        <v>22.47</v>
      </c>
      <c r="L55" s="6">
        <v>40</v>
      </c>
      <c r="M55" s="5">
        <v>0.56174999999999997</v>
      </c>
      <c r="N55" s="3">
        <v>807</v>
      </c>
      <c r="O55" s="10">
        <v>19</v>
      </c>
      <c r="P55" s="10">
        <v>83</v>
      </c>
      <c r="Q55" s="5">
        <v>0.2289156626506024</v>
      </c>
      <c r="R55" s="5">
        <v>0.19</v>
      </c>
      <c r="S55" s="5">
        <v>1.204815</v>
      </c>
      <c r="T55" s="3">
        <v>356</v>
      </c>
      <c r="U55" s="10">
        <v>4</v>
      </c>
      <c r="V55" s="10">
        <v>83</v>
      </c>
      <c r="W55" s="5">
        <v>4.8192771084337352E-2</v>
      </c>
      <c r="X55" s="5">
        <v>0.05</v>
      </c>
      <c r="Y55" s="5">
        <v>0.96384000000000003</v>
      </c>
      <c r="Z55" s="3">
        <v>236</v>
      </c>
      <c r="AA55" s="11">
        <v>0.81818100000000005</v>
      </c>
      <c r="AB55" s="3">
        <v>945</v>
      </c>
      <c r="AC55">
        <v>8.5</v>
      </c>
      <c r="AD55" s="3">
        <v>29</v>
      </c>
      <c r="AE55">
        <v>2</v>
      </c>
      <c r="AF55">
        <v>20</v>
      </c>
      <c r="AG55" s="5">
        <v>0.1</v>
      </c>
      <c r="AH55" s="5">
        <v>0.1</v>
      </c>
      <c r="AI55" s="5">
        <v>1</v>
      </c>
      <c r="AJ55" s="3">
        <v>486</v>
      </c>
      <c r="AK55" s="5">
        <v>0.6875</v>
      </c>
      <c r="AL55" s="5">
        <v>0.4</v>
      </c>
      <c r="AM55" s="5">
        <v>1.458332</v>
      </c>
      <c r="AN55" s="3">
        <v>258</v>
      </c>
      <c r="AO55">
        <v>5</v>
      </c>
      <c r="AP55">
        <v>5</v>
      </c>
      <c r="AQ55" s="5">
        <v>1</v>
      </c>
      <c r="AR55" s="5">
        <v>0.8</v>
      </c>
      <c r="AS55" s="5">
        <v>1.25</v>
      </c>
      <c r="AT55" s="5">
        <v>1</v>
      </c>
    </row>
    <row r="56" spans="1:46" hidden="1">
      <c r="A56" s="4" t="str">
        <f>_xlfn.XLOOKUP(Table13[[#This Row],[SAP]],'Location List'!B:B,'Location List'!G:G)</f>
        <v>KS/OK</v>
      </c>
      <c r="B56" s="4" t="str">
        <f>LEFT(Table13[[#This Row],[Sap: Loaction]],4)</f>
        <v>4781</v>
      </c>
      <c r="C56" s="4" t="str">
        <f>_xlfn.XLOOKUP(Table13[[#This Row],[Employee]],'Location List'!M:M,'Location List'!N:N,"",0)</f>
        <v/>
      </c>
      <c r="D56" t="s">
        <v>973</v>
      </c>
      <c r="E56" t="s">
        <v>982</v>
      </c>
      <c r="F56" t="s">
        <v>495</v>
      </c>
      <c r="G56" s="3">
        <v>1</v>
      </c>
      <c r="H56" s="3">
        <v>263</v>
      </c>
      <c r="I56">
        <v>418.35</v>
      </c>
      <c r="J56" t="s">
        <v>454</v>
      </c>
      <c r="K56" s="6">
        <v>32.75</v>
      </c>
      <c r="L56" s="6">
        <v>40</v>
      </c>
      <c r="M56" s="5">
        <v>0.81874999999999998</v>
      </c>
      <c r="N56" s="3">
        <v>629</v>
      </c>
      <c r="O56" s="10">
        <v>16</v>
      </c>
      <c r="P56" s="10">
        <v>63</v>
      </c>
      <c r="Q56" s="5">
        <v>0.25396825396825395</v>
      </c>
      <c r="R56" s="5">
        <v>0.19</v>
      </c>
      <c r="S56" s="5">
        <v>1.336673</v>
      </c>
      <c r="T56" s="3">
        <v>262</v>
      </c>
      <c r="U56" s="10">
        <v>3</v>
      </c>
      <c r="V56" s="10">
        <v>63</v>
      </c>
      <c r="W56" s="5">
        <v>4.7619047619047616E-2</v>
      </c>
      <c r="X56" s="5">
        <v>0.05</v>
      </c>
      <c r="Y56" s="5">
        <v>0.95238</v>
      </c>
      <c r="Z56" s="3">
        <v>240</v>
      </c>
      <c r="AA56" s="11">
        <v>1.5</v>
      </c>
      <c r="AB56" s="3">
        <v>432</v>
      </c>
      <c r="AC56">
        <v>10</v>
      </c>
      <c r="AD56" s="3">
        <v>1</v>
      </c>
      <c r="AE56">
        <v>0</v>
      </c>
      <c r="AF56">
        <v>14</v>
      </c>
      <c r="AG56" s="5">
        <v>0</v>
      </c>
      <c r="AH56" s="5">
        <v>0.1</v>
      </c>
      <c r="AI56" s="5">
        <v>0</v>
      </c>
      <c r="AJ56" s="3">
        <v>696</v>
      </c>
      <c r="AK56" s="5">
        <v>0.66666650000000005</v>
      </c>
      <c r="AL56" s="5">
        <v>0.4</v>
      </c>
      <c r="AM56" s="5">
        <v>1.6666650000000001</v>
      </c>
      <c r="AN56" s="3">
        <v>169</v>
      </c>
      <c r="AO56">
        <v>1</v>
      </c>
      <c r="AP56">
        <v>3</v>
      </c>
      <c r="AQ56" s="5">
        <v>0.33333333333333331</v>
      </c>
      <c r="AR56" s="5">
        <v>0.8</v>
      </c>
      <c r="AS56" s="5">
        <v>0.41666599999999998</v>
      </c>
      <c r="AT56" s="5">
        <v>830</v>
      </c>
    </row>
    <row r="57" spans="1:46" hidden="1">
      <c r="A57" s="4" t="str">
        <f>_xlfn.XLOOKUP(Table13[[#This Row],[SAP]],'Location List'!B:B,'Location List'!G:G)</f>
        <v>SOUTH TX/RGV</v>
      </c>
      <c r="B57" s="4" t="str">
        <f>LEFT(Table13[[#This Row],[Sap: Loaction]],4)</f>
        <v>200E</v>
      </c>
      <c r="C57" s="4" t="str">
        <f>_xlfn.XLOOKUP(Table13[[#This Row],[Employee]],'Location List'!M:M,'Location List'!N:N,"",0)</f>
        <v/>
      </c>
      <c r="D57" t="s">
        <v>973</v>
      </c>
      <c r="E57" t="s">
        <v>702</v>
      </c>
      <c r="F57" t="s">
        <v>543</v>
      </c>
      <c r="G57" s="3">
        <v>1</v>
      </c>
      <c r="H57" s="3">
        <v>265</v>
      </c>
      <c r="I57">
        <v>418.4</v>
      </c>
      <c r="J57" t="s">
        <v>454</v>
      </c>
      <c r="K57" s="6">
        <v>32.9</v>
      </c>
      <c r="L57" s="6">
        <v>40</v>
      </c>
      <c r="M57" s="5">
        <v>0.82250000000000001</v>
      </c>
      <c r="N57" s="3">
        <v>625</v>
      </c>
      <c r="O57" s="10">
        <v>7</v>
      </c>
      <c r="P57" s="10">
        <v>55</v>
      </c>
      <c r="Q57" s="5">
        <v>0.12727272727272726</v>
      </c>
      <c r="R57" s="5">
        <v>0.19</v>
      </c>
      <c r="S57" s="5">
        <v>0.669852</v>
      </c>
      <c r="T57" s="3">
        <v>818</v>
      </c>
      <c r="U57" s="10">
        <v>4</v>
      </c>
      <c r="V57" s="10">
        <v>55</v>
      </c>
      <c r="W57" s="5">
        <v>7.2727272727272724E-2</v>
      </c>
      <c r="X57" s="5">
        <v>0.05</v>
      </c>
      <c r="Y57" s="5">
        <v>1.4545399999999999</v>
      </c>
      <c r="Z57" s="3">
        <v>81</v>
      </c>
      <c r="AA57" s="11">
        <v>1</v>
      </c>
      <c r="AB57" s="3">
        <v>741</v>
      </c>
      <c r="AC57">
        <v>9.8333329999999997</v>
      </c>
      <c r="AD57" s="3">
        <v>5</v>
      </c>
      <c r="AE57">
        <v>2</v>
      </c>
      <c r="AF57">
        <v>16</v>
      </c>
      <c r="AG57" s="5">
        <v>0.125</v>
      </c>
      <c r="AH57" s="5">
        <v>0.1</v>
      </c>
      <c r="AI57" s="5">
        <v>1.25</v>
      </c>
      <c r="AJ57" s="3">
        <v>409</v>
      </c>
      <c r="AK57" s="5">
        <v>0.66666666666666663</v>
      </c>
      <c r="AL57" s="5">
        <v>0.4</v>
      </c>
      <c r="AM57" s="5">
        <v>1.6666650000000001</v>
      </c>
      <c r="AN57" s="3">
        <v>169</v>
      </c>
      <c r="AO57">
        <v>1</v>
      </c>
      <c r="AP57">
        <v>1</v>
      </c>
      <c r="AQ57">
        <v>1</v>
      </c>
      <c r="AR57" s="5">
        <v>0.8</v>
      </c>
      <c r="AS57" s="5">
        <v>1.25</v>
      </c>
      <c r="AT57" s="5">
        <v>1</v>
      </c>
    </row>
    <row r="58" spans="1:46" hidden="1">
      <c r="A58" s="4" t="str">
        <f>_xlfn.XLOOKUP(Table13[[#This Row],[SAP]],'Location List'!B:B,'Location List'!G:G)</f>
        <v>MO/IA/NE</v>
      </c>
      <c r="B58" s="4" t="str">
        <f>LEFT(Table13[[#This Row],[Sap: Loaction]],4)</f>
        <v>4ASM</v>
      </c>
      <c r="C58" s="4" t="str">
        <f>_xlfn.XLOOKUP(Table13[[#This Row],[Employee]],'Location List'!M:M,'Location List'!N:N,"",0)</f>
        <v>RSM</v>
      </c>
      <c r="D58" t="s">
        <v>973</v>
      </c>
      <c r="E58" t="s">
        <v>616</v>
      </c>
      <c r="F58" t="s">
        <v>492</v>
      </c>
      <c r="G58" s="3">
        <v>1</v>
      </c>
      <c r="H58" s="3">
        <v>269</v>
      </c>
      <c r="I58">
        <v>419.9</v>
      </c>
      <c r="J58" t="s">
        <v>454</v>
      </c>
      <c r="K58" s="6">
        <v>28.69</v>
      </c>
      <c r="L58" s="6">
        <v>40</v>
      </c>
      <c r="M58" s="5">
        <v>0.71725000000000005</v>
      </c>
      <c r="N58" s="3">
        <v>697</v>
      </c>
      <c r="O58" s="10">
        <v>18</v>
      </c>
      <c r="P58" s="10">
        <v>47</v>
      </c>
      <c r="Q58" s="5">
        <v>0.38297872340425532</v>
      </c>
      <c r="R58" s="5">
        <v>0.19</v>
      </c>
      <c r="S58" s="5">
        <v>2.015673</v>
      </c>
      <c r="T58" s="3">
        <v>82</v>
      </c>
      <c r="U58" s="10">
        <v>0</v>
      </c>
      <c r="V58" s="10">
        <v>47</v>
      </c>
      <c r="W58" s="5">
        <v>0</v>
      </c>
      <c r="X58" s="5">
        <v>0.05</v>
      </c>
      <c r="Y58" s="5">
        <v>0</v>
      </c>
      <c r="Z58" s="3">
        <v>994</v>
      </c>
      <c r="AA58" s="11">
        <v>1.7</v>
      </c>
      <c r="AB58" s="3">
        <v>352</v>
      </c>
      <c r="AC58">
        <v>10</v>
      </c>
      <c r="AD58" s="3">
        <v>1</v>
      </c>
      <c r="AE58">
        <v>3</v>
      </c>
      <c r="AF58">
        <v>6</v>
      </c>
      <c r="AG58" s="5">
        <v>0.5</v>
      </c>
      <c r="AH58" s="5">
        <v>0.1</v>
      </c>
      <c r="AI58" s="5">
        <v>5</v>
      </c>
      <c r="AJ58" s="3">
        <v>41</v>
      </c>
      <c r="AK58" s="5">
        <v>0.2</v>
      </c>
      <c r="AL58" s="5">
        <v>0.4</v>
      </c>
      <c r="AM58" s="5">
        <v>0.5</v>
      </c>
      <c r="AN58" s="3">
        <v>937</v>
      </c>
      <c r="AO58">
        <v>3</v>
      </c>
      <c r="AP58">
        <v>4</v>
      </c>
      <c r="AQ58" s="5">
        <v>0.75</v>
      </c>
      <c r="AR58" s="5">
        <v>0.8</v>
      </c>
      <c r="AS58" s="5">
        <v>0.9375</v>
      </c>
      <c r="AT58" s="5">
        <v>644</v>
      </c>
    </row>
    <row r="59" spans="1:46" hidden="1">
      <c r="A59" s="4" t="str">
        <f>_xlfn.XLOOKUP(Table13[[#This Row],[SAP]],'Location List'!B:B,'Location List'!G:G)</f>
        <v>CENTRAL TEXAS</v>
      </c>
      <c r="B59" s="4" t="str">
        <f>LEFT(Table13[[#This Row],[Sap: Loaction]],4)</f>
        <v>1FSS</v>
      </c>
      <c r="C59" s="4" t="str">
        <f>_xlfn.XLOOKUP(Table13[[#This Row],[Employee]],'Location List'!M:M,'Location List'!N:N,"",0)</f>
        <v/>
      </c>
      <c r="D59" t="s">
        <v>973</v>
      </c>
      <c r="E59" t="s">
        <v>668</v>
      </c>
      <c r="F59" t="s">
        <v>540</v>
      </c>
      <c r="G59" s="3">
        <v>1</v>
      </c>
      <c r="H59" s="3">
        <v>277</v>
      </c>
      <c r="I59">
        <v>423.7</v>
      </c>
      <c r="J59" t="s">
        <v>454</v>
      </c>
      <c r="K59" s="6">
        <v>29.96</v>
      </c>
      <c r="L59" s="6">
        <v>30</v>
      </c>
      <c r="M59" s="5">
        <v>0.9986666666666667</v>
      </c>
      <c r="N59" s="3">
        <v>489</v>
      </c>
      <c r="O59" s="10">
        <v>9</v>
      </c>
      <c r="P59" s="10">
        <v>35</v>
      </c>
      <c r="Q59" s="5">
        <v>0.25714285714285712</v>
      </c>
      <c r="R59" s="5">
        <v>0.19</v>
      </c>
      <c r="S59" s="5">
        <v>1.353378</v>
      </c>
      <c r="T59" s="3">
        <v>256</v>
      </c>
      <c r="U59" s="10">
        <v>0</v>
      </c>
      <c r="V59" s="10">
        <v>35</v>
      </c>
      <c r="W59" s="5">
        <v>0</v>
      </c>
      <c r="X59" s="5">
        <v>0.05</v>
      </c>
      <c r="Y59" s="5">
        <v>0</v>
      </c>
      <c r="Z59" s="3">
        <v>994</v>
      </c>
      <c r="AA59" s="11">
        <v>1</v>
      </c>
      <c r="AB59" s="3">
        <v>741</v>
      </c>
      <c r="AC59">
        <v>10</v>
      </c>
      <c r="AD59" s="3">
        <v>1</v>
      </c>
      <c r="AE59">
        <v>3</v>
      </c>
      <c r="AF59">
        <v>9</v>
      </c>
      <c r="AG59" s="5">
        <v>0.33333333333333331</v>
      </c>
      <c r="AH59" s="5">
        <v>0.1</v>
      </c>
      <c r="AI59" s="5">
        <v>3.3333300000000001</v>
      </c>
      <c r="AJ59" s="3">
        <v>113</v>
      </c>
      <c r="AK59" s="5">
        <v>0.1</v>
      </c>
      <c r="AL59" s="5">
        <v>0.4</v>
      </c>
      <c r="AM59" s="5">
        <v>0.25</v>
      </c>
      <c r="AN59" s="3">
        <v>1085</v>
      </c>
      <c r="AO59">
        <v>5</v>
      </c>
      <c r="AP59">
        <v>5</v>
      </c>
      <c r="AQ59" s="5">
        <v>1</v>
      </c>
      <c r="AR59" s="5">
        <v>0.8</v>
      </c>
      <c r="AS59" s="5">
        <v>1.25</v>
      </c>
      <c r="AT59" s="5">
        <v>1</v>
      </c>
    </row>
    <row r="60" spans="1:46" hidden="1">
      <c r="A60" s="4" t="str">
        <f>_xlfn.XLOOKUP(Table13[[#This Row],[SAP]],'Location List'!B:B,'Location List'!G:G)</f>
        <v>WEST TEXAS</v>
      </c>
      <c r="B60" s="4" t="str">
        <f>LEFT(Table13[[#This Row],[Sap: Loaction]],4)</f>
        <v>1FSX</v>
      </c>
      <c r="C60" s="4" t="str">
        <f>_xlfn.XLOOKUP(Table13[[#This Row],[Employee]],'Location List'!M:M,'Location List'!N:N,"",0)</f>
        <v/>
      </c>
      <c r="D60" t="s">
        <v>973</v>
      </c>
      <c r="E60" t="s">
        <v>696</v>
      </c>
      <c r="F60" t="s">
        <v>517</v>
      </c>
      <c r="G60" s="3">
        <v>1</v>
      </c>
      <c r="H60" s="3">
        <v>280</v>
      </c>
      <c r="I60">
        <v>424.15</v>
      </c>
      <c r="J60" t="s">
        <v>454</v>
      </c>
      <c r="K60" s="6">
        <v>32.33</v>
      </c>
      <c r="L60" s="6">
        <v>30</v>
      </c>
      <c r="M60" s="5">
        <v>1.0776666666666666</v>
      </c>
      <c r="N60" s="3">
        <v>441</v>
      </c>
      <c r="O60" s="10">
        <v>12</v>
      </c>
      <c r="P60" s="10">
        <v>66</v>
      </c>
      <c r="Q60" s="5">
        <v>0.18181818181818182</v>
      </c>
      <c r="R60" s="5">
        <v>0.19</v>
      </c>
      <c r="S60" s="5">
        <v>0.95693600000000001</v>
      </c>
      <c r="T60" s="3">
        <v>534</v>
      </c>
      <c r="U60" s="10">
        <v>2</v>
      </c>
      <c r="V60" s="10">
        <v>66</v>
      </c>
      <c r="W60" s="5">
        <v>3.0303030303030304E-2</v>
      </c>
      <c r="X60" s="5">
        <v>0.05</v>
      </c>
      <c r="Y60" s="5">
        <v>0.60606000000000004</v>
      </c>
      <c r="Z60" s="3">
        <v>442</v>
      </c>
      <c r="AA60" s="11">
        <v>2.6</v>
      </c>
      <c r="AB60" s="3">
        <v>122</v>
      </c>
      <c r="AC60">
        <v>10</v>
      </c>
      <c r="AD60" s="3">
        <v>1</v>
      </c>
      <c r="AE60">
        <v>0</v>
      </c>
      <c r="AF60">
        <v>8</v>
      </c>
      <c r="AG60" s="5">
        <v>0</v>
      </c>
      <c r="AH60" s="5">
        <v>0.1</v>
      </c>
      <c r="AI60" s="5">
        <v>0</v>
      </c>
      <c r="AJ60" s="3">
        <v>696</v>
      </c>
      <c r="AK60" s="5">
        <v>1</v>
      </c>
      <c r="AL60" s="5">
        <v>0.4</v>
      </c>
      <c r="AM60" s="5">
        <v>2.5</v>
      </c>
      <c r="AN60" s="3">
        <v>1</v>
      </c>
      <c r="AO60">
        <v>0</v>
      </c>
      <c r="AP60">
        <v>0</v>
      </c>
      <c r="AQ60" s="5" t="s">
        <v>653</v>
      </c>
      <c r="AR60" s="5">
        <v>0.8</v>
      </c>
      <c r="AS60" s="5">
        <v>0</v>
      </c>
      <c r="AT60" s="5">
        <v>902</v>
      </c>
    </row>
    <row r="61" spans="1:46" hidden="1">
      <c r="A61" s="4" t="str">
        <f>_xlfn.XLOOKUP(Table13[[#This Row],[SAP]],'Location List'!B:B,'Location List'!G:G)</f>
        <v>SA SOUTH</v>
      </c>
      <c r="B61" s="4" t="str">
        <f>LEFT(Table13[[#This Row],[Sap: Loaction]],4)</f>
        <v>221D</v>
      </c>
      <c r="C61" s="4" t="str">
        <f>_xlfn.XLOOKUP(Table13[[#This Row],[Employee]],'Location List'!M:M,'Location List'!N:N,"",0)</f>
        <v/>
      </c>
      <c r="D61" t="s">
        <v>973</v>
      </c>
      <c r="E61" t="s">
        <v>618</v>
      </c>
      <c r="F61" t="s">
        <v>521</v>
      </c>
      <c r="G61" s="3">
        <v>1</v>
      </c>
      <c r="H61" s="3">
        <v>284</v>
      </c>
      <c r="I61">
        <v>425.45</v>
      </c>
      <c r="J61" t="s">
        <v>454</v>
      </c>
      <c r="K61" s="6">
        <v>66.44</v>
      </c>
      <c r="L61" s="6">
        <v>40</v>
      </c>
      <c r="M61" s="5">
        <v>1.661</v>
      </c>
      <c r="N61" s="3">
        <v>167</v>
      </c>
      <c r="O61" s="10">
        <v>9</v>
      </c>
      <c r="P61" s="10">
        <v>57</v>
      </c>
      <c r="Q61" s="5">
        <v>0.15789473684210525</v>
      </c>
      <c r="R61" s="5">
        <v>0.19</v>
      </c>
      <c r="S61" s="5">
        <v>0.83102100000000001</v>
      </c>
      <c r="T61" s="3">
        <v>651</v>
      </c>
      <c r="U61" s="10">
        <v>4</v>
      </c>
      <c r="V61" s="10">
        <v>57</v>
      </c>
      <c r="W61" s="5">
        <v>7.0175438596491224E-2</v>
      </c>
      <c r="X61" s="5">
        <v>0.05</v>
      </c>
      <c r="Y61" s="5">
        <v>1.4035</v>
      </c>
      <c r="Z61" s="3">
        <v>89</v>
      </c>
      <c r="AA61" s="11">
        <v>0.214285</v>
      </c>
      <c r="AB61" s="3">
        <v>1338</v>
      </c>
      <c r="AC61">
        <v>6.6666660000000002</v>
      </c>
      <c r="AD61" s="3">
        <v>48</v>
      </c>
      <c r="AE61">
        <v>1</v>
      </c>
      <c r="AF61">
        <v>10</v>
      </c>
      <c r="AG61" s="5">
        <v>0.1</v>
      </c>
      <c r="AH61" s="5">
        <v>0.1</v>
      </c>
      <c r="AI61" s="5">
        <v>1</v>
      </c>
      <c r="AJ61" s="3">
        <v>486</v>
      </c>
      <c r="AK61" s="5">
        <v>0.45</v>
      </c>
      <c r="AL61" s="5">
        <v>0.4</v>
      </c>
      <c r="AM61" s="5">
        <v>1.125</v>
      </c>
      <c r="AN61" s="3">
        <v>497</v>
      </c>
      <c r="AO61">
        <v>1</v>
      </c>
      <c r="AP61">
        <v>1</v>
      </c>
      <c r="AQ61" s="5">
        <v>1</v>
      </c>
      <c r="AR61" s="5">
        <v>0.8</v>
      </c>
      <c r="AS61" s="5">
        <v>1.25</v>
      </c>
      <c r="AT61" s="5">
        <v>1</v>
      </c>
    </row>
    <row r="62" spans="1:46" hidden="1">
      <c r="A62" s="4" t="str">
        <f>_xlfn.XLOOKUP(Table13[[#This Row],[SAP]],'Location List'!B:B,'Location List'!G:G)</f>
        <v>MO/IA/NE</v>
      </c>
      <c r="B62" s="4" t="str">
        <f>LEFT(Table13[[#This Row],[Sap: Loaction]],4)</f>
        <v>4ASM</v>
      </c>
      <c r="C62" s="4" t="str">
        <f>_xlfn.XLOOKUP(Table13[[#This Row],[Employee]],'Location List'!M:M,'Location List'!N:N,"",0)</f>
        <v/>
      </c>
      <c r="D62" t="s">
        <v>973</v>
      </c>
      <c r="E62" t="s">
        <v>988</v>
      </c>
      <c r="F62" t="s">
        <v>492</v>
      </c>
      <c r="G62" s="3">
        <v>1</v>
      </c>
      <c r="H62" s="3">
        <v>286</v>
      </c>
      <c r="I62">
        <v>425.8</v>
      </c>
      <c r="J62" t="s">
        <v>454</v>
      </c>
      <c r="K62" s="6">
        <v>39.4</v>
      </c>
      <c r="L62" s="6">
        <v>40</v>
      </c>
      <c r="M62" s="5">
        <v>0.98499999999999999</v>
      </c>
      <c r="N62" s="3">
        <v>500</v>
      </c>
      <c r="O62" s="10">
        <v>13</v>
      </c>
      <c r="P62" s="10">
        <v>78</v>
      </c>
      <c r="Q62" s="5">
        <v>0.16666666666666666</v>
      </c>
      <c r="R62" s="5">
        <v>0.19</v>
      </c>
      <c r="S62" s="5">
        <v>0.877189</v>
      </c>
      <c r="T62" s="3">
        <v>606</v>
      </c>
      <c r="U62" s="10">
        <v>5</v>
      </c>
      <c r="V62" s="10">
        <v>78</v>
      </c>
      <c r="W62" s="5">
        <v>6.4102564102564097E-2</v>
      </c>
      <c r="X62" s="5">
        <v>0.05</v>
      </c>
      <c r="Y62" s="5">
        <v>1.2820400000000001</v>
      </c>
      <c r="Z62" s="3">
        <v>116</v>
      </c>
      <c r="AA62" s="11">
        <v>0.91666599999999998</v>
      </c>
      <c r="AB62" s="3">
        <v>871</v>
      </c>
      <c r="AC62">
        <v>10</v>
      </c>
      <c r="AD62" s="3">
        <v>1</v>
      </c>
      <c r="AE62">
        <v>2</v>
      </c>
      <c r="AF62">
        <v>13</v>
      </c>
      <c r="AG62" s="5">
        <v>0.15384615384615385</v>
      </c>
      <c r="AH62" s="5">
        <v>0.1</v>
      </c>
      <c r="AI62" s="5">
        <v>1.5384599999999999</v>
      </c>
      <c r="AJ62" s="3">
        <v>356</v>
      </c>
      <c r="AK62" s="5">
        <v>0.2916665</v>
      </c>
      <c r="AL62" s="5">
        <v>0.4</v>
      </c>
      <c r="AM62" s="5">
        <v>0.72916499999999995</v>
      </c>
      <c r="AN62" s="3">
        <v>773</v>
      </c>
      <c r="AO62">
        <v>4</v>
      </c>
      <c r="AP62">
        <v>4</v>
      </c>
      <c r="AQ62" s="5">
        <v>1</v>
      </c>
      <c r="AR62" s="5">
        <v>0.8</v>
      </c>
      <c r="AS62" s="5">
        <v>1.25</v>
      </c>
      <c r="AT62" s="5">
        <v>1</v>
      </c>
    </row>
    <row r="63" spans="1:46" hidden="1">
      <c r="A63" s="4" t="str">
        <f>_xlfn.XLOOKUP(Table13[[#This Row],[SAP]],'Location List'!B:B,'Location List'!G:G)</f>
        <v>MO/IA/NE</v>
      </c>
      <c r="B63" s="4" t="str">
        <f>LEFT(Table13[[#This Row],[Sap: Loaction]],4)</f>
        <v>3ISS</v>
      </c>
      <c r="C63" s="4" t="str">
        <f>_xlfn.XLOOKUP(Table13[[#This Row],[Employee]],'Location List'!M:M,'Location List'!N:N,"",0)</f>
        <v/>
      </c>
      <c r="D63" t="s">
        <v>973</v>
      </c>
      <c r="E63" t="s">
        <v>831</v>
      </c>
      <c r="F63" t="s">
        <v>561</v>
      </c>
      <c r="G63" s="3">
        <v>1</v>
      </c>
      <c r="H63" s="3">
        <v>287</v>
      </c>
      <c r="I63">
        <v>426.35</v>
      </c>
      <c r="J63" t="s">
        <v>454</v>
      </c>
      <c r="K63" s="6">
        <v>41.65</v>
      </c>
      <c r="L63" s="6">
        <v>29.999999999999996</v>
      </c>
      <c r="M63" s="5">
        <v>1.3883333333333334</v>
      </c>
      <c r="N63" s="3">
        <v>283</v>
      </c>
      <c r="O63" s="10">
        <v>26</v>
      </c>
      <c r="P63" s="10">
        <v>109</v>
      </c>
      <c r="Q63" s="5">
        <v>0.23853211009174313</v>
      </c>
      <c r="R63" s="5">
        <v>0.19</v>
      </c>
      <c r="S63" s="5">
        <v>1.255431</v>
      </c>
      <c r="T63" s="3">
        <v>314</v>
      </c>
      <c r="U63" s="10">
        <v>8</v>
      </c>
      <c r="V63" s="10">
        <v>109</v>
      </c>
      <c r="W63" s="5">
        <v>7.3394495412844041E-2</v>
      </c>
      <c r="X63" s="5">
        <v>0.05</v>
      </c>
      <c r="Y63" s="5">
        <v>1.4678800000000001</v>
      </c>
      <c r="Z63" s="3">
        <v>79</v>
      </c>
      <c r="AA63" s="11">
        <v>0.66666599999999998</v>
      </c>
      <c r="AB63" s="3">
        <v>1060</v>
      </c>
      <c r="AC63">
        <v>9.5</v>
      </c>
      <c r="AD63" s="3">
        <v>14</v>
      </c>
      <c r="AE63">
        <v>2</v>
      </c>
      <c r="AF63">
        <v>26</v>
      </c>
      <c r="AG63" s="5">
        <v>7.6923076923076927E-2</v>
      </c>
      <c r="AH63" s="5">
        <v>0.1</v>
      </c>
      <c r="AI63" s="5">
        <v>0.76922999999999997</v>
      </c>
      <c r="AJ63" s="3">
        <v>554</v>
      </c>
      <c r="AK63" s="5">
        <v>0.50264533333333328</v>
      </c>
      <c r="AL63" s="5">
        <v>0.4</v>
      </c>
      <c r="AM63" s="5">
        <v>1.2566120000000001</v>
      </c>
      <c r="AN63" s="3">
        <v>325</v>
      </c>
      <c r="AO63">
        <v>0</v>
      </c>
      <c r="AP63">
        <v>2</v>
      </c>
      <c r="AQ63" s="5">
        <v>0</v>
      </c>
      <c r="AR63" s="5">
        <v>0.8</v>
      </c>
      <c r="AS63" s="5">
        <v>0</v>
      </c>
      <c r="AT63" s="5">
        <v>902</v>
      </c>
    </row>
    <row r="64" spans="1:46">
      <c r="A64" s="4" t="str">
        <f>_xlfn.XLOOKUP(Table13[[#This Row],[SAP]],'Location List'!B:B,'Location List'!G:G)</f>
        <v>SA SOUTH</v>
      </c>
      <c r="B64" s="4" t="str">
        <f>LEFT(Table13[[#This Row],[Sap: Loaction]],4)</f>
        <v>1DSZ</v>
      </c>
      <c r="C64" s="4" t="str">
        <f>_xlfn.XLOOKUP(Table13[[#This Row],[Employee]],'Location List'!M:M,'Location List'!N:N,"",0)</f>
        <v/>
      </c>
      <c r="D64" t="s">
        <v>973</v>
      </c>
      <c r="E64" t="s">
        <v>677</v>
      </c>
      <c r="F64" t="s">
        <v>504</v>
      </c>
      <c r="G64" s="3">
        <v>2</v>
      </c>
      <c r="H64" s="3">
        <v>289</v>
      </c>
      <c r="I64">
        <v>426.8</v>
      </c>
      <c r="J64" t="s">
        <v>454</v>
      </c>
      <c r="K64" s="6">
        <v>68.97</v>
      </c>
      <c r="L64" s="6">
        <v>35</v>
      </c>
      <c r="M64" s="5">
        <v>1.9705714285714286</v>
      </c>
      <c r="N64" s="3">
        <v>94</v>
      </c>
      <c r="O64" s="10">
        <v>22</v>
      </c>
      <c r="P64" s="10">
        <v>117</v>
      </c>
      <c r="Q64" s="5">
        <v>0.18803418803418803</v>
      </c>
      <c r="R64" s="5">
        <v>0.19</v>
      </c>
      <c r="S64" s="5">
        <v>0.98965199999999998</v>
      </c>
      <c r="T64" s="3">
        <v>507</v>
      </c>
      <c r="U64" s="10">
        <v>2</v>
      </c>
      <c r="V64" s="10">
        <v>117</v>
      </c>
      <c r="W64" s="5">
        <v>1.7094017094017096E-2</v>
      </c>
      <c r="X64" s="5">
        <v>0.05</v>
      </c>
      <c r="Y64" s="5">
        <v>0.34188000000000002</v>
      </c>
      <c r="Z64" s="3">
        <v>744</v>
      </c>
      <c r="AA64" s="11">
        <v>1.5</v>
      </c>
      <c r="AB64" s="3">
        <v>432</v>
      </c>
      <c r="AC64">
        <v>8.25</v>
      </c>
      <c r="AD64" s="3">
        <v>34</v>
      </c>
      <c r="AE64">
        <v>0</v>
      </c>
      <c r="AF64">
        <v>10</v>
      </c>
      <c r="AG64" s="5">
        <v>0</v>
      </c>
      <c r="AH64" s="5">
        <v>0.1</v>
      </c>
      <c r="AI64" s="5">
        <v>0</v>
      </c>
      <c r="AJ64" s="3">
        <v>696</v>
      </c>
      <c r="AK64" s="5">
        <v>0.57142833333333332</v>
      </c>
      <c r="AL64" s="5">
        <v>0.4</v>
      </c>
      <c r="AM64" s="5">
        <v>1.4285699999999999</v>
      </c>
      <c r="AN64" s="3">
        <v>276</v>
      </c>
      <c r="AO64">
        <v>6</v>
      </c>
      <c r="AP64">
        <v>7</v>
      </c>
      <c r="AQ64" s="5">
        <v>0.8571428571428571</v>
      </c>
      <c r="AR64" s="5">
        <v>0.8</v>
      </c>
      <c r="AS64" s="5">
        <v>1.0714269999999999</v>
      </c>
      <c r="AT64" s="5">
        <v>583</v>
      </c>
    </row>
    <row r="65" spans="1:46">
      <c r="A65" s="4" t="str">
        <f>_xlfn.XLOOKUP(Table13[[#This Row],[SAP]],'Location List'!B:B,'Location List'!G:G)</f>
        <v>SOUTH TX/RGV</v>
      </c>
      <c r="B65" s="4" t="str">
        <f>LEFT(Table13[[#This Row],[Sap: Loaction]],4)</f>
        <v>216E</v>
      </c>
      <c r="C65" s="4" t="str">
        <f>_xlfn.XLOOKUP(Table13[[#This Row],[Employee]],'Location List'!M:M,'Location List'!N:N,"",0)</f>
        <v/>
      </c>
      <c r="D65" t="s">
        <v>973</v>
      </c>
      <c r="E65" t="s">
        <v>985</v>
      </c>
      <c r="F65" t="s">
        <v>560</v>
      </c>
      <c r="G65" s="3">
        <v>2</v>
      </c>
      <c r="H65" s="3">
        <v>291</v>
      </c>
      <c r="I65">
        <v>428.65</v>
      </c>
      <c r="J65" t="s">
        <v>454</v>
      </c>
      <c r="K65" s="6">
        <v>60.09</v>
      </c>
      <c r="L65" s="6">
        <v>40</v>
      </c>
      <c r="M65" s="5">
        <v>1.5022500000000001</v>
      </c>
      <c r="N65" s="3">
        <v>233</v>
      </c>
      <c r="O65" s="10">
        <v>7</v>
      </c>
      <c r="P65" s="10">
        <v>72</v>
      </c>
      <c r="Q65" s="5">
        <v>9.7222222222222224E-2</v>
      </c>
      <c r="R65" s="5">
        <v>0.19</v>
      </c>
      <c r="S65" s="5">
        <v>0.51169399999999998</v>
      </c>
      <c r="T65" s="3">
        <v>1005</v>
      </c>
      <c r="U65" s="10">
        <v>6</v>
      </c>
      <c r="V65" s="10">
        <v>72</v>
      </c>
      <c r="W65" s="5">
        <v>8.3333333333333329E-2</v>
      </c>
      <c r="X65" s="5">
        <v>0.05</v>
      </c>
      <c r="Y65" s="5">
        <v>1.66666</v>
      </c>
      <c r="Z65" s="3">
        <v>49</v>
      </c>
      <c r="AA65" s="11">
        <v>1.181818</v>
      </c>
      <c r="AB65" s="3">
        <v>663</v>
      </c>
      <c r="AC65">
        <v>10</v>
      </c>
      <c r="AD65" s="3">
        <v>1</v>
      </c>
      <c r="AE65">
        <v>0</v>
      </c>
      <c r="AF65">
        <v>21</v>
      </c>
      <c r="AG65" s="5">
        <v>0</v>
      </c>
      <c r="AH65" s="5">
        <v>0.1</v>
      </c>
      <c r="AI65" s="5">
        <v>0</v>
      </c>
      <c r="AJ65" s="3">
        <v>696</v>
      </c>
      <c r="AK65" s="5">
        <v>0.66666666666666663</v>
      </c>
      <c r="AL65" s="5">
        <v>0.4</v>
      </c>
      <c r="AM65" s="5">
        <v>1.6666650000000001</v>
      </c>
      <c r="AN65" s="3">
        <v>169</v>
      </c>
      <c r="AO65">
        <v>1</v>
      </c>
      <c r="AP65">
        <v>1</v>
      </c>
      <c r="AQ65" s="5">
        <v>1</v>
      </c>
      <c r="AR65" s="5">
        <v>0.8</v>
      </c>
      <c r="AS65" s="5">
        <v>1.25</v>
      </c>
      <c r="AT65" s="5">
        <v>1</v>
      </c>
    </row>
    <row r="66" spans="1:46" hidden="1">
      <c r="A66" s="4" t="str">
        <f>_xlfn.XLOOKUP(Table13[[#This Row],[SAP]],'Location List'!B:B,'Location List'!G:G)</f>
        <v>WEST TEXAS</v>
      </c>
      <c r="B66" s="4" t="str">
        <f>LEFT(Table13[[#This Row],[Sap: Loaction]],4)</f>
        <v>1LSS</v>
      </c>
      <c r="C66" s="4" t="str">
        <f>_xlfn.XLOOKUP(Table13[[#This Row],[Employee]],'Location List'!M:M,'Location List'!N:N,"",0)</f>
        <v/>
      </c>
      <c r="D66" t="s">
        <v>973</v>
      </c>
      <c r="E66" t="s">
        <v>785</v>
      </c>
      <c r="F66" t="s">
        <v>537</v>
      </c>
      <c r="G66" s="3">
        <v>2</v>
      </c>
      <c r="H66" s="3">
        <v>293</v>
      </c>
      <c r="I66">
        <v>429.75</v>
      </c>
      <c r="J66" t="s">
        <v>454</v>
      </c>
      <c r="K66" s="6">
        <v>52.74</v>
      </c>
      <c r="L66" s="6">
        <v>35</v>
      </c>
      <c r="M66" s="5">
        <v>1.5068571428571429</v>
      </c>
      <c r="N66" s="3">
        <v>231</v>
      </c>
      <c r="O66" s="10">
        <v>12</v>
      </c>
      <c r="P66" s="10">
        <v>88</v>
      </c>
      <c r="Q66" s="5">
        <v>0.13636363636363635</v>
      </c>
      <c r="R66" s="5">
        <v>0.19</v>
      </c>
      <c r="S66" s="5">
        <v>0.7177</v>
      </c>
      <c r="T66" s="3">
        <v>766</v>
      </c>
      <c r="U66" s="10">
        <v>2</v>
      </c>
      <c r="V66" s="10">
        <v>88</v>
      </c>
      <c r="W66" s="5">
        <v>2.2727272727272728E-2</v>
      </c>
      <c r="X66" s="5">
        <v>0.05</v>
      </c>
      <c r="Y66" s="5">
        <v>0.45454</v>
      </c>
      <c r="Z66" s="3">
        <v>587</v>
      </c>
      <c r="AA66" s="11">
        <v>2.3333330000000001</v>
      </c>
      <c r="AB66" s="3">
        <v>160</v>
      </c>
      <c r="AC66">
        <v>9.6</v>
      </c>
      <c r="AD66" s="3">
        <v>13</v>
      </c>
      <c r="AE66">
        <v>2</v>
      </c>
      <c r="AF66">
        <v>15</v>
      </c>
      <c r="AG66" s="5">
        <v>0.13333333333333333</v>
      </c>
      <c r="AH66" s="5">
        <v>0.1</v>
      </c>
      <c r="AI66" s="5">
        <v>1.3333299999999999</v>
      </c>
      <c r="AJ66" s="3">
        <v>400</v>
      </c>
      <c r="AK66" s="5">
        <v>0.72222200000000003</v>
      </c>
      <c r="AL66" s="5">
        <v>0.4</v>
      </c>
      <c r="AM66" s="5">
        <v>1.805555</v>
      </c>
      <c r="AN66" s="3">
        <v>157</v>
      </c>
      <c r="AO66">
        <v>0</v>
      </c>
      <c r="AP66">
        <v>4</v>
      </c>
      <c r="AQ66" s="5">
        <v>0</v>
      </c>
      <c r="AR66" s="5">
        <v>0.8</v>
      </c>
      <c r="AS66" s="5">
        <v>0</v>
      </c>
      <c r="AT66" s="5">
        <v>902</v>
      </c>
    </row>
    <row r="67" spans="1:46" hidden="1">
      <c r="A67" s="4" t="str">
        <f>_xlfn.XLOOKUP(Table13[[#This Row],[SAP]],'Location List'!B:B,'Location List'!G:G)</f>
        <v>WEST TEXAS</v>
      </c>
      <c r="B67" s="4" t="str">
        <f>LEFT(Table13[[#This Row],[Sap: Loaction]],4)</f>
        <v>930E</v>
      </c>
      <c r="C67" s="4" t="str">
        <f>_xlfn.XLOOKUP(Table13[[#This Row],[Employee]],'Location List'!M:M,'Location List'!N:N,"",0)</f>
        <v/>
      </c>
      <c r="D67" t="s">
        <v>973</v>
      </c>
      <c r="E67" t="s">
        <v>674</v>
      </c>
      <c r="F67" t="s">
        <v>552</v>
      </c>
      <c r="G67" s="3">
        <v>2</v>
      </c>
      <c r="H67" s="3">
        <v>297</v>
      </c>
      <c r="I67">
        <v>430.55</v>
      </c>
      <c r="J67" t="s">
        <v>454</v>
      </c>
      <c r="K67" s="6">
        <v>42.3</v>
      </c>
      <c r="L67" s="6">
        <v>39.999999999999993</v>
      </c>
      <c r="M67" s="5">
        <v>1.0575000000000001</v>
      </c>
      <c r="N67" s="3">
        <v>455</v>
      </c>
      <c r="O67" s="10">
        <v>11</v>
      </c>
      <c r="P67" s="10">
        <v>60</v>
      </c>
      <c r="Q67" s="5">
        <v>0.18333333333333332</v>
      </c>
      <c r="R67" s="5">
        <v>0.19</v>
      </c>
      <c r="S67" s="5">
        <v>0.96491000000000005</v>
      </c>
      <c r="T67" s="3">
        <v>530</v>
      </c>
      <c r="U67" s="10">
        <v>3</v>
      </c>
      <c r="V67" s="10">
        <v>60</v>
      </c>
      <c r="W67" s="5">
        <v>0.05</v>
      </c>
      <c r="X67" s="5">
        <v>0.05</v>
      </c>
      <c r="Y67" s="5">
        <v>1</v>
      </c>
      <c r="Z67" s="3">
        <v>220</v>
      </c>
      <c r="AA67" s="11">
        <v>1.7142850000000001</v>
      </c>
      <c r="AB67" s="3">
        <v>341</v>
      </c>
      <c r="AC67">
        <v>10</v>
      </c>
      <c r="AD67" s="3">
        <v>1</v>
      </c>
      <c r="AE67">
        <v>2</v>
      </c>
      <c r="AF67">
        <v>10</v>
      </c>
      <c r="AG67" s="5">
        <v>0.2</v>
      </c>
      <c r="AH67" s="5">
        <v>0.1</v>
      </c>
      <c r="AI67" s="5">
        <v>2</v>
      </c>
      <c r="AJ67" s="3">
        <v>256</v>
      </c>
      <c r="AK67" s="5">
        <v>0.27777766666666664</v>
      </c>
      <c r="AL67" s="5">
        <v>0.4</v>
      </c>
      <c r="AM67" s="5">
        <v>0.694442</v>
      </c>
      <c r="AN67" s="3">
        <v>787</v>
      </c>
      <c r="AO67">
        <v>1</v>
      </c>
      <c r="AP67">
        <v>3</v>
      </c>
      <c r="AQ67" s="5">
        <v>0.33333333333333331</v>
      </c>
      <c r="AR67" s="5">
        <v>0.8</v>
      </c>
      <c r="AS67" s="5">
        <v>0.41666599999999998</v>
      </c>
      <c r="AT67" s="5">
        <v>830</v>
      </c>
    </row>
    <row r="68" spans="1:46" hidden="1">
      <c r="A68" s="4" t="str">
        <f>_xlfn.XLOOKUP(Table13[[#This Row],[SAP]],'Location List'!B:B,'Location List'!G:G)</f>
        <v>MO/IA/NE</v>
      </c>
      <c r="B68" s="4" t="str">
        <f>LEFT(Table13[[#This Row],[Sap: Loaction]],4)</f>
        <v>4ASM</v>
      </c>
      <c r="C68" s="4" t="str">
        <f>_xlfn.XLOOKUP(Table13[[#This Row],[Employee]],'Location List'!M:M,'Location List'!N:N,"",0)</f>
        <v/>
      </c>
      <c r="D68" t="s">
        <v>973</v>
      </c>
      <c r="E68" t="s">
        <v>978</v>
      </c>
      <c r="F68" t="s">
        <v>492</v>
      </c>
      <c r="G68" s="3">
        <v>2</v>
      </c>
      <c r="H68" s="3">
        <v>298</v>
      </c>
      <c r="I68">
        <v>430.65</v>
      </c>
      <c r="J68" t="s">
        <v>454</v>
      </c>
      <c r="K68" s="6">
        <v>67.31</v>
      </c>
      <c r="L68" s="6">
        <v>40</v>
      </c>
      <c r="M68" s="5">
        <v>1.68275</v>
      </c>
      <c r="N68" s="3">
        <v>158</v>
      </c>
      <c r="O68" s="10">
        <v>27</v>
      </c>
      <c r="P68" s="10">
        <v>172</v>
      </c>
      <c r="Q68" s="5">
        <v>0.15697674418604651</v>
      </c>
      <c r="R68" s="5">
        <v>0.19</v>
      </c>
      <c r="S68" s="5">
        <v>0.82618899999999995</v>
      </c>
      <c r="T68" s="3">
        <v>658</v>
      </c>
      <c r="U68" s="10">
        <v>11</v>
      </c>
      <c r="V68" s="10">
        <v>172</v>
      </c>
      <c r="W68" s="5">
        <v>6.3953488372093026E-2</v>
      </c>
      <c r="X68" s="5">
        <v>0.05</v>
      </c>
      <c r="Y68" s="5">
        <v>1.2790600000000001</v>
      </c>
      <c r="Z68" s="3">
        <v>118</v>
      </c>
      <c r="AA68" s="11">
        <v>0.83333299999999999</v>
      </c>
      <c r="AB68" s="3">
        <v>924</v>
      </c>
      <c r="AC68">
        <v>7.90909</v>
      </c>
      <c r="AD68" s="3">
        <v>37</v>
      </c>
      <c r="AE68">
        <v>1</v>
      </c>
      <c r="AF68">
        <v>46</v>
      </c>
      <c r="AG68" s="5">
        <v>2.1739130434782608E-2</v>
      </c>
      <c r="AH68" s="5">
        <v>0.1</v>
      </c>
      <c r="AI68" s="5">
        <v>0.21739</v>
      </c>
      <c r="AJ68" s="3">
        <v>695</v>
      </c>
      <c r="AK68" s="5">
        <v>0.33333333333333331</v>
      </c>
      <c r="AL68" s="5">
        <v>0.4</v>
      </c>
      <c r="AM68" s="5">
        <v>0.83333199999999996</v>
      </c>
      <c r="AN68" s="3">
        <v>631</v>
      </c>
      <c r="AO68">
        <v>3</v>
      </c>
      <c r="AP68">
        <v>3</v>
      </c>
      <c r="AQ68" s="5">
        <v>1</v>
      </c>
      <c r="AR68" s="5">
        <v>0.8</v>
      </c>
      <c r="AS68" s="5">
        <v>1.25</v>
      </c>
      <c r="AT68" s="5">
        <v>1</v>
      </c>
    </row>
    <row r="69" spans="1:46" hidden="1">
      <c r="A69" s="4" t="str">
        <f>_xlfn.XLOOKUP(Table13[[#This Row],[SAP]],'Location List'!B:B,'Location List'!G:G)</f>
        <v>KS/OK</v>
      </c>
      <c r="B69" s="4" t="str">
        <f>LEFT(Table13[[#This Row],[Sap: Loaction]],4)</f>
        <v>407D</v>
      </c>
      <c r="C69" s="4" t="str">
        <f>_xlfn.XLOOKUP(Table13[[#This Row],[Employee]],'Location List'!M:M,'Location List'!N:N,"",0)</f>
        <v/>
      </c>
      <c r="D69" t="s">
        <v>973</v>
      </c>
      <c r="E69" t="s">
        <v>876</v>
      </c>
      <c r="F69" t="s">
        <v>556</v>
      </c>
      <c r="G69" s="3">
        <v>2</v>
      </c>
      <c r="H69" s="3">
        <v>305</v>
      </c>
      <c r="I69">
        <v>433.65</v>
      </c>
      <c r="J69" t="s">
        <v>454</v>
      </c>
      <c r="K69" s="6">
        <v>66.89</v>
      </c>
      <c r="L69" s="6">
        <v>40</v>
      </c>
      <c r="M69" s="5">
        <v>1.67225</v>
      </c>
      <c r="N69" s="3">
        <v>163</v>
      </c>
      <c r="O69" s="10">
        <v>20</v>
      </c>
      <c r="P69" s="10">
        <v>71</v>
      </c>
      <c r="Q69" s="5">
        <v>0.28169014084507044</v>
      </c>
      <c r="R69" s="5">
        <v>0.19</v>
      </c>
      <c r="S69" s="5">
        <v>1.482578</v>
      </c>
      <c r="T69" s="3">
        <v>213</v>
      </c>
      <c r="U69" s="10">
        <v>3</v>
      </c>
      <c r="V69" s="10">
        <v>71</v>
      </c>
      <c r="W69" s="5">
        <v>4.2253521126760563E-2</v>
      </c>
      <c r="X69" s="5">
        <v>0.05</v>
      </c>
      <c r="Y69" s="5">
        <v>0.84506000000000003</v>
      </c>
      <c r="Z69" s="3">
        <v>304</v>
      </c>
      <c r="AA69" s="11">
        <v>0.8</v>
      </c>
      <c r="AB69" s="3">
        <v>958</v>
      </c>
      <c r="AC69">
        <v>10</v>
      </c>
      <c r="AD69" s="3">
        <v>1</v>
      </c>
      <c r="AE69">
        <v>0</v>
      </c>
      <c r="AF69">
        <v>15</v>
      </c>
      <c r="AG69" s="5">
        <v>0</v>
      </c>
      <c r="AH69" s="5">
        <v>0.1</v>
      </c>
      <c r="AI69" s="5">
        <v>0</v>
      </c>
      <c r="AJ69" s="3">
        <v>696</v>
      </c>
      <c r="AK69" s="5">
        <v>0.33333333333333331</v>
      </c>
      <c r="AL69" s="5">
        <v>0.4</v>
      </c>
      <c r="AM69" s="5">
        <v>0.83333199999999996</v>
      </c>
      <c r="AN69" s="3">
        <v>631</v>
      </c>
      <c r="AO69">
        <v>7</v>
      </c>
      <c r="AP69">
        <v>12</v>
      </c>
      <c r="AQ69" s="5">
        <v>0.58333333333333337</v>
      </c>
      <c r="AR69" s="5">
        <v>0.8</v>
      </c>
      <c r="AS69" s="5">
        <v>0.72916599999999998</v>
      </c>
      <c r="AT69" s="5">
        <v>728</v>
      </c>
    </row>
    <row r="70" spans="1:46" hidden="1">
      <c r="A70" s="4" t="str">
        <f>_xlfn.XLOOKUP(Table13[[#This Row],[SAP]],'Location List'!B:B,'Location List'!G:G)</f>
        <v>MO/IA/NE</v>
      </c>
      <c r="B70" s="4" t="str">
        <f>LEFT(Table13[[#This Row],[Sap: Loaction]],4)</f>
        <v>4BSP</v>
      </c>
      <c r="C70" s="4" t="str">
        <f>_xlfn.XLOOKUP(Table13[[#This Row],[Employee]],'Location List'!M:M,'Location List'!N:N,"",0)</f>
        <v/>
      </c>
      <c r="D70" t="s">
        <v>973</v>
      </c>
      <c r="E70" t="s">
        <v>908</v>
      </c>
      <c r="F70" t="s">
        <v>569</v>
      </c>
      <c r="G70" s="3">
        <v>2</v>
      </c>
      <c r="H70" s="3">
        <v>316</v>
      </c>
      <c r="I70">
        <v>436.7</v>
      </c>
      <c r="J70" t="s">
        <v>454</v>
      </c>
      <c r="K70" s="6">
        <v>22.37</v>
      </c>
      <c r="L70" s="6">
        <v>30</v>
      </c>
      <c r="M70" s="5">
        <v>0.7456666666666667</v>
      </c>
      <c r="N70" s="3">
        <v>680</v>
      </c>
      <c r="O70" s="10">
        <v>11</v>
      </c>
      <c r="P70" s="10">
        <v>78</v>
      </c>
      <c r="Q70" s="5">
        <v>0.14102564102564102</v>
      </c>
      <c r="R70" s="5">
        <v>0.19</v>
      </c>
      <c r="S70" s="5">
        <v>0.74223600000000001</v>
      </c>
      <c r="T70" s="3">
        <v>735</v>
      </c>
      <c r="U70" s="10">
        <v>4</v>
      </c>
      <c r="V70" s="10">
        <v>78</v>
      </c>
      <c r="W70" s="5">
        <v>5.128205128205128E-2</v>
      </c>
      <c r="X70" s="5">
        <v>0.05</v>
      </c>
      <c r="Y70" s="5">
        <v>1.0256400000000001</v>
      </c>
      <c r="Z70" s="3">
        <v>203</v>
      </c>
      <c r="AA70" s="11">
        <v>1.142857</v>
      </c>
      <c r="AB70" s="3">
        <v>683</v>
      </c>
      <c r="AC70">
        <v>10</v>
      </c>
      <c r="AD70" s="3">
        <v>1</v>
      </c>
      <c r="AE70">
        <v>2</v>
      </c>
      <c r="AF70">
        <v>18</v>
      </c>
      <c r="AG70" s="5">
        <v>0.1111111111111111</v>
      </c>
      <c r="AH70" s="5">
        <v>0.1</v>
      </c>
      <c r="AI70" s="5">
        <v>1.11111</v>
      </c>
      <c r="AJ70" s="3">
        <v>442</v>
      </c>
      <c r="AK70" s="5">
        <v>0.5</v>
      </c>
      <c r="AL70" s="5">
        <v>0.4</v>
      </c>
      <c r="AM70" s="5">
        <v>1.25</v>
      </c>
      <c r="AN70" s="3">
        <v>326</v>
      </c>
      <c r="AO70">
        <v>5</v>
      </c>
      <c r="AP70">
        <v>5</v>
      </c>
      <c r="AQ70" s="5">
        <v>1</v>
      </c>
      <c r="AR70" s="5">
        <v>0.8</v>
      </c>
      <c r="AS70" s="5">
        <v>1.25</v>
      </c>
      <c r="AT70" s="5">
        <v>1</v>
      </c>
    </row>
    <row r="71" spans="1:46" hidden="1">
      <c r="A71" s="4" t="str">
        <f>_xlfn.XLOOKUP(Table13[[#This Row],[SAP]],'Location List'!B:B,'Location List'!G:G)</f>
        <v>CENTRAL TEXAS</v>
      </c>
      <c r="B71" s="4" t="str">
        <f>LEFT(Table13[[#This Row],[Sap: Loaction]],4)</f>
        <v>1FSI</v>
      </c>
      <c r="C71" s="4" t="str">
        <f>_xlfn.XLOOKUP(Table13[[#This Row],[Employee]],'Location List'!M:M,'Location List'!N:N,"",0)</f>
        <v/>
      </c>
      <c r="D71" t="s">
        <v>973</v>
      </c>
      <c r="E71" t="s">
        <v>981</v>
      </c>
      <c r="F71" t="s">
        <v>520</v>
      </c>
      <c r="G71" s="3">
        <v>2</v>
      </c>
      <c r="H71" s="3">
        <v>327</v>
      </c>
      <c r="I71">
        <v>442.65</v>
      </c>
      <c r="J71" t="s">
        <v>454</v>
      </c>
      <c r="K71" s="6">
        <v>51.13</v>
      </c>
      <c r="L71" s="6">
        <v>35</v>
      </c>
      <c r="M71" s="5">
        <v>1.4608571428571429</v>
      </c>
      <c r="N71" s="3">
        <v>247</v>
      </c>
      <c r="O71" s="10">
        <v>12</v>
      </c>
      <c r="P71" s="10">
        <v>74</v>
      </c>
      <c r="Q71" s="5">
        <v>0.16216216216216217</v>
      </c>
      <c r="R71" s="5">
        <v>0.19</v>
      </c>
      <c r="S71" s="5">
        <v>0.85348400000000002</v>
      </c>
      <c r="T71" s="3">
        <v>630</v>
      </c>
      <c r="U71" s="10">
        <v>8</v>
      </c>
      <c r="V71" s="10">
        <v>74</v>
      </c>
      <c r="W71" s="5">
        <v>0.10810810810810811</v>
      </c>
      <c r="X71" s="5">
        <v>0.05</v>
      </c>
      <c r="Y71" s="5">
        <v>2.1621600000000001</v>
      </c>
      <c r="Z71" s="3">
        <v>20</v>
      </c>
      <c r="AA71" s="11">
        <v>1.166666</v>
      </c>
      <c r="AB71" s="3">
        <v>667</v>
      </c>
      <c r="AC71">
        <v>9.8333329999999997</v>
      </c>
      <c r="AD71" s="3">
        <v>5</v>
      </c>
      <c r="AE71">
        <v>0</v>
      </c>
      <c r="AF71">
        <v>2</v>
      </c>
      <c r="AG71" s="5">
        <v>0</v>
      </c>
      <c r="AH71" s="5">
        <v>0.1</v>
      </c>
      <c r="AI71" s="5">
        <v>0</v>
      </c>
      <c r="AJ71" s="3">
        <v>696</v>
      </c>
      <c r="AK71" s="5">
        <v>0.47222199999999998</v>
      </c>
      <c r="AL71" s="5">
        <v>0.4</v>
      </c>
      <c r="AM71" s="5">
        <v>1.180555</v>
      </c>
      <c r="AN71" s="3">
        <v>477</v>
      </c>
      <c r="AO71">
        <v>6</v>
      </c>
      <c r="AP71">
        <v>7</v>
      </c>
      <c r="AQ71" s="5">
        <v>0.8571428571428571</v>
      </c>
      <c r="AR71" s="5">
        <v>0.8</v>
      </c>
      <c r="AS71" s="5">
        <v>1.0714269999999999</v>
      </c>
      <c r="AT71" s="5">
        <v>583</v>
      </c>
    </row>
    <row r="72" spans="1:46" hidden="1">
      <c r="A72" s="4" t="str">
        <f>_xlfn.XLOOKUP(Table13[[#This Row],[SAP]],'Location List'!B:B,'Location List'!G:G)</f>
        <v>CENTRAL TEXAS</v>
      </c>
      <c r="B72" s="4" t="str">
        <f>LEFT(Table13[[#This Row],[Sap: Loaction]],4)</f>
        <v>1FSH</v>
      </c>
      <c r="C72" s="4" t="str">
        <f>_xlfn.XLOOKUP(Table13[[#This Row],[Employee]],'Location List'!M:M,'Location List'!N:N,"",0)</f>
        <v/>
      </c>
      <c r="D72" t="s">
        <v>973</v>
      </c>
      <c r="E72" t="s">
        <v>605</v>
      </c>
      <c r="F72" t="s">
        <v>508</v>
      </c>
      <c r="G72" s="3">
        <v>2</v>
      </c>
      <c r="H72" s="3">
        <v>331</v>
      </c>
      <c r="I72">
        <v>444.15</v>
      </c>
      <c r="J72" t="s">
        <v>454</v>
      </c>
      <c r="K72" s="6">
        <v>82</v>
      </c>
      <c r="L72" s="6">
        <v>40</v>
      </c>
      <c r="M72" s="5">
        <v>2.0499999999999998</v>
      </c>
      <c r="N72" s="3">
        <v>82</v>
      </c>
      <c r="O72" s="10">
        <v>23</v>
      </c>
      <c r="P72" s="10">
        <v>96</v>
      </c>
      <c r="Q72" s="5">
        <v>0.23958333333333334</v>
      </c>
      <c r="R72" s="5">
        <v>0.19</v>
      </c>
      <c r="S72" s="5">
        <v>1.2609630000000001</v>
      </c>
      <c r="T72" s="3">
        <v>310</v>
      </c>
      <c r="U72" s="10">
        <v>5</v>
      </c>
      <c r="V72" s="10">
        <v>96</v>
      </c>
      <c r="W72" s="5">
        <v>5.2083333333333336E-2</v>
      </c>
      <c r="X72" s="5">
        <v>0.05</v>
      </c>
      <c r="Y72" s="5">
        <v>1.04166</v>
      </c>
      <c r="Z72" s="3">
        <v>196</v>
      </c>
      <c r="AA72" s="11">
        <v>0</v>
      </c>
      <c r="AB72" s="3">
        <v>1357</v>
      </c>
      <c r="AC72">
        <v>8.3333329999999997</v>
      </c>
      <c r="AD72" s="3">
        <v>32</v>
      </c>
      <c r="AE72">
        <v>5</v>
      </c>
      <c r="AF72">
        <v>10</v>
      </c>
      <c r="AG72" s="5">
        <v>0.5</v>
      </c>
      <c r="AH72" s="5">
        <v>0.1</v>
      </c>
      <c r="AI72" s="5">
        <v>5</v>
      </c>
      <c r="AJ72" s="3">
        <v>41</v>
      </c>
      <c r="AK72" s="5"/>
      <c r="AL72" s="5">
        <v>0.4</v>
      </c>
      <c r="AM72" s="5">
        <v>0</v>
      </c>
      <c r="AN72" s="3">
        <v>1150</v>
      </c>
      <c r="AO72">
        <v>0</v>
      </c>
      <c r="AP72">
        <v>3</v>
      </c>
      <c r="AQ72" s="5">
        <v>0</v>
      </c>
      <c r="AR72" s="5">
        <v>0.8</v>
      </c>
      <c r="AS72" s="5">
        <v>0</v>
      </c>
      <c r="AT72" s="5">
        <v>902</v>
      </c>
    </row>
    <row r="73" spans="1:46" hidden="1">
      <c r="A73" s="4" t="str">
        <f>_xlfn.XLOOKUP(Table13[[#This Row],[SAP]],'Location List'!B:B,'Location List'!G:G)</f>
        <v>DFW EAST</v>
      </c>
      <c r="B73" s="4" t="str">
        <f>LEFT(Table13[[#This Row],[Sap: Loaction]],4)</f>
        <v>5564</v>
      </c>
      <c r="C73" s="4" t="str">
        <f>_xlfn.XLOOKUP(Table13[[#This Row],[Employee]],'Location List'!M:M,'Location List'!N:N,"",0)</f>
        <v/>
      </c>
      <c r="D73" t="s">
        <v>973</v>
      </c>
      <c r="E73" t="s">
        <v>977</v>
      </c>
      <c r="F73" t="s">
        <v>542</v>
      </c>
      <c r="G73" s="3">
        <v>2</v>
      </c>
      <c r="H73" s="3">
        <v>334</v>
      </c>
      <c r="I73">
        <v>444.95</v>
      </c>
      <c r="J73" t="s">
        <v>454</v>
      </c>
      <c r="K73" s="6">
        <v>44.7</v>
      </c>
      <c r="L73" s="6">
        <v>35</v>
      </c>
      <c r="M73" s="5">
        <v>1.2771428571428571</v>
      </c>
      <c r="N73" s="3">
        <v>331</v>
      </c>
      <c r="O73" s="10">
        <v>16</v>
      </c>
      <c r="P73" s="10">
        <v>80</v>
      </c>
      <c r="Q73" s="5">
        <v>0.2</v>
      </c>
      <c r="R73" s="5">
        <v>0.19</v>
      </c>
      <c r="S73" s="5">
        <v>1.0526310000000001</v>
      </c>
      <c r="T73" s="3">
        <v>464</v>
      </c>
      <c r="U73" s="10">
        <v>1</v>
      </c>
      <c r="V73" s="10">
        <v>80</v>
      </c>
      <c r="W73" s="5">
        <v>1.2500000000000001E-2</v>
      </c>
      <c r="X73" s="5">
        <v>0.05</v>
      </c>
      <c r="Y73" s="5">
        <v>0.25</v>
      </c>
      <c r="Z73" s="3">
        <v>875</v>
      </c>
      <c r="AA73" s="11">
        <v>1.0769230000000001</v>
      </c>
      <c r="AB73" s="3">
        <v>735</v>
      </c>
      <c r="AC73">
        <v>6.6666660000000002</v>
      </c>
      <c r="AD73" s="3">
        <v>48</v>
      </c>
      <c r="AE73">
        <v>0</v>
      </c>
      <c r="AF73">
        <v>19</v>
      </c>
      <c r="AG73" s="5">
        <v>0</v>
      </c>
      <c r="AH73" s="5">
        <v>0.1</v>
      </c>
      <c r="AI73" s="5">
        <v>0</v>
      </c>
      <c r="AJ73" s="3">
        <v>696</v>
      </c>
      <c r="AK73" s="5">
        <v>0.51190466666666667</v>
      </c>
      <c r="AL73" s="5">
        <v>0.4</v>
      </c>
      <c r="AM73" s="5">
        <v>1.27976</v>
      </c>
      <c r="AN73" s="3">
        <v>322</v>
      </c>
      <c r="AO73">
        <v>4</v>
      </c>
      <c r="AP73">
        <v>4</v>
      </c>
      <c r="AQ73" s="5">
        <v>1</v>
      </c>
      <c r="AR73" s="5">
        <v>0.8</v>
      </c>
      <c r="AS73" s="5">
        <v>1.25</v>
      </c>
      <c r="AT73" s="5">
        <v>1</v>
      </c>
    </row>
    <row r="74" spans="1:46">
      <c r="A74" s="4" t="str">
        <f>_xlfn.XLOOKUP(Table13[[#This Row],[SAP]],'Location List'!B:B,'Location List'!G:G)</f>
        <v>DFW EAST</v>
      </c>
      <c r="B74" s="4" t="str">
        <f>LEFT(Table13[[#This Row],[Sap: Loaction]],4)</f>
        <v>5784</v>
      </c>
      <c r="C74" s="4" t="str">
        <f>_xlfn.XLOOKUP(Table13[[#This Row],[Employee]],'Location List'!M:M,'Location List'!N:N,"",0)</f>
        <v/>
      </c>
      <c r="D74" t="s">
        <v>973</v>
      </c>
      <c r="E74" t="s">
        <v>646</v>
      </c>
      <c r="F74" t="s">
        <v>541</v>
      </c>
      <c r="G74" s="3">
        <v>2</v>
      </c>
      <c r="H74" s="3">
        <v>337</v>
      </c>
      <c r="I74">
        <v>445.5</v>
      </c>
      <c r="J74" t="s">
        <v>454</v>
      </c>
      <c r="K74" s="6">
        <v>31.48</v>
      </c>
      <c r="L74" s="6">
        <v>40</v>
      </c>
      <c r="M74" s="5">
        <v>0.78700000000000003</v>
      </c>
      <c r="N74" s="3">
        <v>654</v>
      </c>
      <c r="O74" s="10">
        <v>17</v>
      </c>
      <c r="P74" s="10">
        <v>91</v>
      </c>
      <c r="Q74" s="5">
        <v>0.18681318681318682</v>
      </c>
      <c r="R74" s="5">
        <v>0.19</v>
      </c>
      <c r="S74" s="5">
        <v>0.98322600000000004</v>
      </c>
      <c r="T74" s="3">
        <v>517</v>
      </c>
      <c r="U74" s="10">
        <v>3</v>
      </c>
      <c r="V74" s="10">
        <v>91</v>
      </c>
      <c r="W74" s="5">
        <v>3.2967032967032968E-2</v>
      </c>
      <c r="X74" s="5">
        <v>0.05</v>
      </c>
      <c r="Y74" s="5">
        <v>0.65934000000000004</v>
      </c>
      <c r="Z74" s="3">
        <v>405</v>
      </c>
      <c r="AA74" s="11">
        <v>1</v>
      </c>
      <c r="AB74" s="3">
        <v>741</v>
      </c>
      <c r="AC74">
        <v>9.75</v>
      </c>
      <c r="AD74" s="3">
        <v>7</v>
      </c>
      <c r="AE74">
        <v>1</v>
      </c>
      <c r="AF74">
        <v>20</v>
      </c>
      <c r="AG74" s="5">
        <v>0.05</v>
      </c>
      <c r="AH74" s="5">
        <v>0.1</v>
      </c>
      <c r="AI74" s="5">
        <v>0.5</v>
      </c>
      <c r="AJ74" s="3">
        <v>640</v>
      </c>
      <c r="AK74" s="5">
        <v>0.5</v>
      </c>
      <c r="AL74" s="5">
        <v>0.4</v>
      </c>
      <c r="AM74" s="5">
        <v>1.25</v>
      </c>
      <c r="AN74" s="3">
        <v>326</v>
      </c>
      <c r="AO74">
        <v>3</v>
      </c>
      <c r="AP74">
        <v>3</v>
      </c>
      <c r="AQ74" s="5">
        <v>1</v>
      </c>
      <c r="AR74" s="5">
        <v>0.8</v>
      </c>
      <c r="AS74" s="5">
        <v>1.25</v>
      </c>
      <c r="AT74" s="5">
        <v>1</v>
      </c>
    </row>
    <row r="75" spans="1:46" hidden="1">
      <c r="A75" s="4" t="str">
        <f>_xlfn.XLOOKUP(Table13[[#This Row],[SAP]],'Location List'!B:B,'Location List'!G:G)</f>
        <v>DFW NORTH</v>
      </c>
      <c r="B75" s="4" t="str">
        <f>LEFT(Table13[[#This Row],[Sap: Loaction]],4)</f>
        <v>1CSM</v>
      </c>
      <c r="C75" s="4" t="str">
        <f>_xlfn.XLOOKUP(Table13[[#This Row],[Employee]],'Location List'!M:M,'Location List'!N:N,"",0)</f>
        <v/>
      </c>
      <c r="D75" t="s">
        <v>973</v>
      </c>
      <c r="E75" t="s">
        <v>703</v>
      </c>
      <c r="F75" t="s">
        <v>510</v>
      </c>
      <c r="G75" s="3">
        <v>2</v>
      </c>
      <c r="H75" s="3">
        <v>339</v>
      </c>
      <c r="I75">
        <v>446.15</v>
      </c>
      <c r="J75" t="s">
        <v>454</v>
      </c>
      <c r="K75" s="6">
        <v>48.2</v>
      </c>
      <c r="L75" s="6">
        <v>35</v>
      </c>
      <c r="M75" s="5">
        <v>1.3771428571428572</v>
      </c>
      <c r="N75" s="3">
        <v>291</v>
      </c>
      <c r="O75" s="10">
        <v>14</v>
      </c>
      <c r="P75" s="10">
        <v>80</v>
      </c>
      <c r="Q75" s="5">
        <v>0.17499999999999999</v>
      </c>
      <c r="R75" s="5">
        <v>0.19</v>
      </c>
      <c r="S75" s="5">
        <v>0.92105199999999998</v>
      </c>
      <c r="T75" s="3">
        <v>563</v>
      </c>
      <c r="U75" s="10">
        <v>2</v>
      </c>
      <c r="V75" s="10">
        <v>80</v>
      </c>
      <c r="W75" s="5">
        <v>2.5000000000000001E-2</v>
      </c>
      <c r="X75" s="5">
        <v>0.05</v>
      </c>
      <c r="Y75" s="5">
        <v>0.5</v>
      </c>
      <c r="Z75" s="3">
        <v>535</v>
      </c>
      <c r="AA75" s="11">
        <v>0.75</v>
      </c>
      <c r="AB75" s="3">
        <v>992</v>
      </c>
      <c r="AC75">
        <v>10</v>
      </c>
      <c r="AD75" s="3">
        <v>1</v>
      </c>
      <c r="AE75">
        <v>0</v>
      </c>
      <c r="AF75">
        <v>11</v>
      </c>
      <c r="AG75" s="5">
        <v>0</v>
      </c>
      <c r="AH75" s="5">
        <v>0.1</v>
      </c>
      <c r="AI75" s="5">
        <v>0</v>
      </c>
      <c r="AJ75" s="3">
        <v>696</v>
      </c>
      <c r="AK75" s="5">
        <v>0.5</v>
      </c>
      <c r="AL75" s="5">
        <v>0.4</v>
      </c>
      <c r="AM75" s="5">
        <v>1.25</v>
      </c>
      <c r="AN75" s="3">
        <v>326</v>
      </c>
      <c r="AO75">
        <v>6</v>
      </c>
      <c r="AP75">
        <v>6</v>
      </c>
      <c r="AQ75" s="5">
        <v>1</v>
      </c>
      <c r="AR75" s="5">
        <v>0.8</v>
      </c>
      <c r="AS75" s="5">
        <v>1.25</v>
      </c>
      <c r="AT75" s="5">
        <v>1</v>
      </c>
    </row>
    <row r="76" spans="1:46" hidden="1">
      <c r="A76" s="4" t="str">
        <f>_xlfn.XLOOKUP(Table13[[#This Row],[SAP]],'Location List'!B:B,'Location List'!G:G)</f>
        <v>DFW EAST</v>
      </c>
      <c r="B76" s="4" t="str">
        <f>LEFT(Table13[[#This Row],[Sap: Loaction]],4)</f>
        <v>2819</v>
      </c>
      <c r="C76" s="4" t="str">
        <f>_xlfn.XLOOKUP(Table13[[#This Row],[Employee]],'Location List'!M:M,'Location List'!N:N,"",0)</f>
        <v/>
      </c>
      <c r="D76" t="s">
        <v>973</v>
      </c>
      <c r="E76" t="s">
        <v>664</v>
      </c>
      <c r="F76" t="s">
        <v>554</v>
      </c>
      <c r="G76" s="3">
        <v>2</v>
      </c>
      <c r="H76" s="3">
        <v>340</v>
      </c>
      <c r="I76">
        <v>446.7</v>
      </c>
      <c r="J76" t="s">
        <v>454</v>
      </c>
      <c r="K76" s="6">
        <v>36.96</v>
      </c>
      <c r="L76" s="6">
        <v>40</v>
      </c>
      <c r="M76" s="5">
        <v>0.92400000000000004</v>
      </c>
      <c r="N76" s="3">
        <v>546</v>
      </c>
      <c r="O76" s="10">
        <v>32</v>
      </c>
      <c r="P76" s="10">
        <v>102</v>
      </c>
      <c r="Q76" s="5">
        <v>0.31372549019607843</v>
      </c>
      <c r="R76" s="5">
        <v>0.19</v>
      </c>
      <c r="S76" s="5">
        <v>1.651184</v>
      </c>
      <c r="T76" s="3">
        <v>160</v>
      </c>
      <c r="U76" s="10">
        <v>0</v>
      </c>
      <c r="V76" s="10">
        <v>102</v>
      </c>
      <c r="W76" s="5">
        <v>0</v>
      </c>
      <c r="X76" s="5">
        <v>0.05</v>
      </c>
      <c r="Y76" s="5">
        <v>0</v>
      </c>
      <c r="Z76" s="3">
        <v>994</v>
      </c>
      <c r="AA76" s="11">
        <v>1.1000000000000001</v>
      </c>
      <c r="AB76" s="3">
        <v>722</v>
      </c>
      <c r="AC76">
        <v>10</v>
      </c>
      <c r="AD76" s="3">
        <v>1</v>
      </c>
      <c r="AE76">
        <v>1</v>
      </c>
      <c r="AF76">
        <v>5</v>
      </c>
      <c r="AG76" s="5">
        <v>0.2</v>
      </c>
      <c r="AH76" s="5">
        <v>0.1</v>
      </c>
      <c r="AI76" s="5">
        <v>2</v>
      </c>
      <c r="AJ76" s="3">
        <v>256</v>
      </c>
      <c r="AK76" s="5">
        <v>0.35</v>
      </c>
      <c r="AL76" s="5">
        <v>0.4</v>
      </c>
      <c r="AM76" s="5">
        <v>0.875</v>
      </c>
      <c r="AN76" s="3">
        <v>623</v>
      </c>
      <c r="AO76">
        <v>5</v>
      </c>
      <c r="AP76">
        <v>6</v>
      </c>
      <c r="AQ76" s="5">
        <v>0.83333333333333337</v>
      </c>
      <c r="AR76" s="5">
        <v>0.8</v>
      </c>
      <c r="AS76" s="5">
        <v>1.041666</v>
      </c>
      <c r="AT76" s="5">
        <v>604</v>
      </c>
    </row>
    <row r="77" spans="1:46" hidden="1">
      <c r="A77" s="4" t="str">
        <f>_xlfn.XLOOKUP(Table13[[#This Row],[SAP]],'Location List'!B:B,'Location List'!G:G)</f>
        <v>SA SOUTH</v>
      </c>
      <c r="B77" s="4" t="str">
        <f>LEFT(Table13[[#This Row],[Sap: Loaction]],4)</f>
        <v>1ESL</v>
      </c>
      <c r="C77" s="4" t="str">
        <f>_xlfn.XLOOKUP(Table13[[#This Row],[Employee]],'Location List'!M:M,'Location List'!N:N,"",0)</f>
        <v/>
      </c>
      <c r="D77" t="s">
        <v>973</v>
      </c>
      <c r="E77" t="s">
        <v>930</v>
      </c>
      <c r="F77" t="s">
        <v>519</v>
      </c>
      <c r="G77" s="3">
        <v>2</v>
      </c>
      <c r="H77" s="3">
        <v>344</v>
      </c>
      <c r="I77">
        <v>447.6</v>
      </c>
      <c r="J77" t="s">
        <v>454</v>
      </c>
      <c r="K77" s="6">
        <v>79.86</v>
      </c>
      <c r="L77" s="6">
        <v>35</v>
      </c>
      <c r="M77" s="5">
        <v>2.2817142857142856</v>
      </c>
      <c r="N77" s="3">
        <v>54</v>
      </c>
      <c r="O77" s="10">
        <v>10</v>
      </c>
      <c r="P77" s="10">
        <v>41</v>
      </c>
      <c r="Q77" s="5">
        <v>0.24390243902439024</v>
      </c>
      <c r="R77" s="5">
        <v>0.19</v>
      </c>
      <c r="S77" s="5">
        <v>1.2836939999999999</v>
      </c>
      <c r="T77" s="3">
        <v>295</v>
      </c>
      <c r="U77" s="10">
        <v>1</v>
      </c>
      <c r="V77" s="10">
        <v>41</v>
      </c>
      <c r="W77" s="5">
        <v>2.4390243902439025E-2</v>
      </c>
      <c r="X77" s="5">
        <v>0.05</v>
      </c>
      <c r="Y77" s="5">
        <v>0.48780000000000001</v>
      </c>
      <c r="Z77" s="3">
        <v>553</v>
      </c>
      <c r="AA77" s="11">
        <v>0.5</v>
      </c>
      <c r="AB77" s="3">
        <v>1172</v>
      </c>
      <c r="AC77">
        <v>0</v>
      </c>
      <c r="AD77" s="3">
        <v>75</v>
      </c>
      <c r="AE77">
        <v>0</v>
      </c>
      <c r="AF77">
        <v>1</v>
      </c>
      <c r="AG77" s="5">
        <v>0</v>
      </c>
      <c r="AH77" s="5">
        <v>0.1</v>
      </c>
      <c r="AI77" s="5">
        <v>0</v>
      </c>
      <c r="AJ77" s="3">
        <v>696</v>
      </c>
      <c r="AK77" s="5">
        <v>0.16666666666666666</v>
      </c>
      <c r="AL77" s="5">
        <v>0.4</v>
      </c>
      <c r="AM77" s="5">
        <v>0.41666500000000001</v>
      </c>
      <c r="AN77" s="3">
        <v>960</v>
      </c>
      <c r="AO77">
        <v>4</v>
      </c>
      <c r="AP77">
        <v>4</v>
      </c>
      <c r="AQ77" s="5">
        <v>1</v>
      </c>
      <c r="AR77" s="5">
        <v>0.8</v>
      </c>
      <c r="AS77" s="5">
        <v>1.25</v>
      </c>
      <c r="AT77" s="5">
        <v>1</v>
      </c>
    </row>
    <row r="78" spans="1:46" hidden="1">
      <c r="A78" s="4" t="str">
        <f>_xlfn.XLOOKUP(Table13[[#This Row],[SAP]],'Location List'!B:B,'Location List'!G:G)</f>
        <v>SA/HILL COUNTRY</v>
      </c>
      <c r="B78" s="4" t="str">
        <f>LEFT(Table13[[#This Row],[Sap: Loaction]],4)</f>
        <v>583D</v>
      </c>
      <c r="C78" s="4" t="str">
        <f>_xlfn.XLOOKUP(Table13[[#This Row],[Employee]],'Location List'!M:M,'Location List'!N:N,"",0)</f>
        <v>RSM</v>
      </c>
      <c r="D78" t="s">
        <v>973</v>
      </c>
      <c r="E78" t="s">
        <v>850</v>
      </c>
      <c r="F78" t="s">
        <v>538</v>
      </c>
      <c r="G78" s="3">
        <v>2</v>
      </c>
      <c r="H78" s="3">
        <v>349</v>
      </c>
      <c r="I78">
        <v>449.75</v>
      </c>
      <c r="J78" t="s">
        <v>454</v>
      </c>
      <c r="K78" s="6">
        <v>-16.649999999999999</v>
      </c>
      <c r="L78" s="6">
        <v>39.999999999999993</v>
      </c>
      <c r="M78" s="5">
        <v>-0.41625000000000001</v>
      </c>
      <c r="N78" s="3">
        <v>1378</v>
      </c>
      <c r="O78" s="10">
        <v>11</v>
      </c>
      <c r="P78" s="10">
        <v>41</v>
      </c>
      <c r="Q78" s="5">
        <v>0.26829268292682928</v>
      </c>
      <c r="R78" s="5">
        <v>0.19</v>
      </c>
      <c r="S78" s="5">
        <v>1.4120630000000001</v>
      </c>
      <c r="T78" s="3">
        <v>231</v>
      </c>
      <c r="U78" s="10">
        <v>1</v>
      </c>
      <c r="V78" s="10">
        <v>41</v>
      </c>
      <c r="W78" s="5">
        <v>2.4390243902439025E-2</v>
      </c>
      <c r="X78" s="5">
        <v>0.05</v>
      </c>
      <c r="Y78" s="5">
        <v>0.48780000000000001</v>
      </c>
      <c r="Z78" s="3">
        <v>553</v>
      </c>
      <c r="AA78" s="11">
        <v>1.5</v>
      </c>
      <c r="AB78" s="3">
        <v>432</v>
      </c>
      <c r="AC78">
        <v>10</v>
      </c>
      <c r="AD78" s="3">
        <v>1</v>
      </c>
      <c r="AE78">
        <v>1</v>
      </c>
      <c r="AF78">
        <v>3</v>
      </c>
      <c r="AG78" s="5">
        <v>0.33333333333333331</v>
      </c>
      <c r="AH78" s="5">
        <v>0.1</v>
      </c>
      <c r="AI78" s="5">
        <v>3.3333300000000001</v>
      </c>
      <c r="AJ78" s="3">
        <v>113</v>
      </c>
      <c r="AK78" s="5">
        <v>0.25</v>
      </c>
      <c r="AL78" s="5">
        <v>0.4</v>
      </c>
      <c r="AM78" s="5">
        <v>0.625</v>
      </c>
      <c r="AN78" s="3">
        <v>812</v>
      </c>
      <c r="AO78">
        <v>3</v>
      </c>
      <c r="AP78">
        <v>3</v>
      </c>
      <c r="AQ78" s="5">
        <v>1</v>
      </c>
      <c r="AR78" s="5">
        <v>0.8</v>
      </c>
      <c r="AS78" s="5">
        <v>1.25</v>
      </c>
      <c r="AT78" s="5">
        <v>1</v>
      </c>
    </row>
    <row r="79" spans="1:46" hidden="1">
      <c r="A79" s="4" t="str">
        <f>_xlfn.XLOOKUP(Table13[[#This Row],[SAP]],'Location List'!B:B,'Location List'!G:G)</f>
        <v>KS/OK</v>
      </c>
      <c r="B79" s="4" t="str">
        <f>LEFT(Table13[[#This Row],[Sap: Loaction]],4)</f>
        <v>586D</v>
      </c>
      <c r="C79" s="4" t="str">
        <f>_xlfn.XLOOKUP(Table13[[#This Row],[Employee]],'Location List'!M:M,'Location List'!N:N,"",0)</f>
        <v/>
      </c>
      <c r="D79" t="s">
        <v>973</v>
      </c>
      <c r="E79" t="s">
        <v>670</v>
      </c>
      <c r="F79" t="s">
        <v>507</v>
      </c>
      <c r="G79" s="3">
        <v>2</v>
      </c>
      <c r="H79" s="3">
        <v>354</v>
      </c>
      <c r="I79">
        <v>451.85</v>
      </c>
      <c r="J79" t="s">
        <v>454</v>
      </c>
      <c r="K79" s="6">
        <v>66.58</v>
      </c>
      <c r="L79" s="6">
        <v>40</v>
      </c>
      <c r="M79" s="5">
        <v>1.6645000000000001</v>
      </c>
      <c r="N79" s="3">
        <v>166</v>
      </c>
      <c r="O79" s="10">
        <v>18</v>
      </c>
      <c r="P79" s="10">
        <v>137</v>
      </c>
      <c r="Q79" s="5">
        <v>0.13138686131386862</v>
      </c>
      <c r="R79" s="5">
        <v>0.19</v>
      </c>
      <c r="S79" s="5">
        <v>0.69150500000000004</v>
      </c>
      <c r="T79" s="3">
        <v>794</v>
      </c>
      <c r="U79" s="10">
        <v>2</v>
      </c>
      <c r="V79" s="10">
        <v>137</v>
      </c>
      <c r="W79" s="5">
        <v>1.4598540145985401E-2</v>
      </c>
      <c r="X79" s="5">
        <v>0.05</v>
      </c>
      <c r="Y79" s="5">
        <v>0.29196</v>
      </c>
      <c r="Z79" s="3">
        <v>815</v>
      </c>
      <c r="AA79" s="11">
        <v>1.166666</v>
      </c>
      <c r="AB79" s="3">
        <v>667</v>
      </c>
      <c r="AC79">
        <v>9.5</v>
      </c>
      <c r="AD79" s="3">
        <v>14</v>
      </c>
      <c r="AE79">
        <v>1</v>
      </c>
      <c r="AF79">
        <v>26</v>
      </c>
      <c r="AG79" s="5">
        <v>3.8461538461538464E-2</v>
      </c>
      <c r="AH79" s="5">
        <v>0.1</v>
      </c>
      <c r="AI79" s="5">
        <v>0.38461000000000001</v>
      </c>
      <c r="AJ79" s="3">
        <v>677</v>
      </c>
      <c r="AK79" s="5">
        <v>0.75</v>
      </c>
      <c r="AL79" s="5">
        <v>0.4</v>
      </c>
      <c r="AM79" s="5">
        <v>1.6666650000000001</v>
      </c>
      <c r="AN79" s="3">
        <v>169</v>
      </c>
      <c r="AO79">
        <v>5</v>
      </c>
      <c r="AP79">
        <v>5</v>
      </c>
      <c r="AQ79" s="5">
        <v>1</v>
      </c>
      <c r="AR79" s="5">
        <v>0.8</v>
      </c>
      <c r="AS79" s="5">
        <v>1.25</v>
      </c>
      <c r="AT79" s="5">
        <v>1</v>
      </c>
    </row>
    <row r="80" spans="1:46" hidden="1">
      <c r="A80" s="4" t="str">
        <f>_xlfn.XLOOKUP(Table13[[#This Row],[SAP]],'Location List'!B:B,'Location List'!G:G)</f>
        <v>SA SOUTH</v>
      </c>
      <c r="B80" s="4" t="str">
        <f>LEFT(Table13[[#This Row],[Sap: Loaction]],4)</f>
        <v>4723</v>
      </c>
      <c r="C80" s="4" t="str">
        <f>_xlfn.XLOOKUP(Table13[[#This Row],[Employee]],'Location List'!M:M,'Location List'!N:N,"",0)</f>
        <v/>
      </c>
      <c r="D80" t="s">
        <v>973</v>
      </c>
      <c r="E80" t="s">
        <v>976</v>
      </c>
      <c r="F80" t="s">
        <v>534</v>
      </c>
      <c r="G80" s="3">
        <v>2</v>
      </c>
      <c r="H80" s="3">
        <v>362</v>
      </c>
      <c r="I80">
        <v>455.25</v>
      </c>
      <c r="J80" t="s">
        <v>454</v>
      </c>
      <c r="K80" s="6">
        <v>55.48</v>
      </c>
      <c r="L80" s="6">
        <v>40</v>
      </c>
      <c r="M80" s="5">
        <v>1.387</v>
      </c>
      <c r="N80" s="3">
        <v>285</v>
      </c>
      <c r="O80" s="10">
        <v>11</v>
      </c>
      <c r="P80" s="10">
        <v>49</v>
      </c>
      <c r="Q80" s="5">
        <v>0.22448979591836735</v>
      </c>
      <c r="R80" s="5">
        <v>0.19</v>
      </c>
      <c r="S80" s="5">
        <v>1.181521</v>
      </c>
      <c r="T80" s="3">
        <v>377</v>
      </c>
      <c r="U80" s="10">
        <v>0</v>
      </c>
      <c r="V80" s="10">
        <v>49</v>
      </c>
      <c r="W80" s="5">
        <v>0</v>
      </c>
      <c r="X80" s="5">
        <v>0.05</v>
      </c>
      <c r="Y80" s="5">
        <v>0</v>
      </c>
      <c r="Z80" s="3">
        <v>994</v>
      </c>
      <c r="AA80" s="11">
        <v>0.85714199999999996</v>
      </c>
      <c r="AB80" s="3">
        <v>905</v>
      </c>
      <c r="AC80">
        <v>10</v>
      </c>
      <c r="AD80" s="3">
        <v>1</v>
      </c>
      <c r="AE80">
        <v>1</v>
      </c>
      <c r="AF80">
        <v>10</v>
      </c>
      <c r="AG80" s="5">
        <v>0.1</v>
      </c>
      <c r="AH80" s="5">
        <v>0.1</v>
      </c>
      <c r="AI80" s="5">
        <v>1</v>
      </c>
      <c r="AJ80" s="3">
        <v>486</v>
      </c>
      <c r="AK80" s="5">
        <v>1</v>
      </c>
      <c r="AL80" s="5">
        <v>0.4</v>
      </c>
      <c r="AM80" s="5">
        <v>2.5</v>
      </c>
      <c r="AN80" s="3">
        <v>1</v>
      </c>
      <c r="AO80">
        <v>1</v>
      </c>
      <c r="AP80">
        <v>2</v>
      </c>
      <c r="AQ80" s="5">
        <v>0.5</v>
      </c>
      <c r="AR80" s="5">
        <v>0.8</v>
      </c>
      <c r="AS80" s="5">
        <v>0.625</v>
      </c>
      <c r="AT80" s="5">
        <v>741</v>
      </c>
    </row>
    <row r="81" spans="1:46" hidden="1">
      <c r="A81" s="4" t="str">
        <f>_xlfn.XLOOKUP(Table13[[#This Row],[SAP]],'Location List'!B:B,'Location List'!G:G)</f>
        <v>SA SOUTH</v>
      </c>
      <c r="B81" s="4" t="str">
        <f>LEFT(Table13[[#This Row],[Sap: Loaction]],4)</f>
        <v>4723</v>
      </c>
      <c r="C81" s="4" t="str">
        <f>_xlfn.XLOOKUP(Table13[[#This Row],[Employee]],'Location List'!M:M,'Location List'!N:N,"",0)</f>
        <v/>
      </c>
      <c r="D81" t="s">
        <v>973</v>
      </c>
      <c r="E81" t="s">
        <v>607</v>
      </c>
      <c r="F81" t="s">
        <v>534</v>
      </c>
      <c r="G81" s="3">
        <v>2</v>
      </c>
      <c r="H81" s="3">
        <v>379</v>
      </c>
      <c r="I81">
        <v>462.3</v>
      </c>
      <c r="J81" t="s">
        <v>454</v>
      </c>
      <c r="K81" s="6">
        <v>11.06</v>
      </c>
      <c r="L81" s="6">
        <v>40</v>
      </c>
      <c r="M81" s="5">
        <v>0.27650000000000002</v>
      </c>
      <c r="N81" s="3">
        <v>1014</v>
      </c>
      <c r="O81" s="10">
        <v>19</v>
      </c>
      <c r="P81" s="10">
        <v>64</v>
      </c>
      <c r="Q81" s="5">
        <v>0.296875</v>
      </c>
      <c r="R81" s="5">
        <v>0.19</v>
      </c>
      <c r="S81" s="5">
        <v>1.5625</v>
      </c>
      <c r="T81" s="3">
        <v>182</v>
      </c>
      <c r="U81" s="10">
        <v>1</v>
      </c>
      <c r="V81" s="10">
        <v>64</v>
      </c>
      <c r="W81" s="5">
        <v>1.5625E-2</v>
      </c>
      <c r="X81" s="5">
        <v>0.05</v>
      </c>
      <c r="Y81" s="5">
        <v>0.3125</v>
      </c>
      <c r="Z81" s="3">
        <v>791</v>
      </c>
      <c r="AA81" s="11">
        <v>4</v>
      </c>
      <c r="AB81" s="3">
        <v>29</v>
      </c>
      <c r="AC81">
        <v>10</v>
      </c>
      <c r="AD81" s="3">
        <v>1</v>
      </c>
      <c r="AE81">
        <v>2</v>
      </c>
      <c r="AF81">
        <v>10</v>
      </c>
      <c r="AG81" s="5">
        <v>0.2</v>
      </c>
      <c r="AH81" s="5">
        <v>0.1</v>
      </c>
      <c r="AI81" s="5">
        <v>2</v>
      </c>
      <c r="AJ81" s="3">
        <v>256</v>
      </c>
      <c r="AK81" s="5">
        <v>0.33333333333333331</v>
      </c>
      <c r="AL81" s="5">
        <v>0.4</v>
      </c>
      <c r="AM81" s="5">
        <v>0.83333199999999996</v>
      </c>
      <c r="AN81" s="3">
        <v>631</v>
      </c>
      <c r="AO81">
        <v>0</v>
      </c>
      <c r="AP81">
        <v>0</v>
      </c>
      <c r="AQ81" s="5" t="s">
        <v>653</v>
      </c>
      <c r="AR81" s="5">
        <v>0.8</v>
      </c>
      <c r="AS81" s="5">
        <v>0</v>
      </c>
      <c r="AT81" s="5">
        <v>902</v>
      </c>
    </row>
    <row r="82" spans="1:46" hidden="1">
      <c r="A82" s="4" t="str">
        <f>_xlfn.XLOOKUP(Table13[[#This Row],[SAP]],'Location List'!B:B,'Location List'!G:G)</f>
        <v>CENTRAL TEXAS</v>
      </c>
      <c r="B82" s="4" t="str">
        <f>LEFT(Table13[[#This Row],[Sap: Loaction]],4)</f>
        <v>1DSG</v>
      </c>
      <c r="C82" s="4" t="str">
        <f>_xlfn.XLOOKUP(Table13[[#This Row],[Employee]],'Location List'!M:M,'Location List'!N:N,"",0)</f>
        <v/>
      </c>
      <c r="D82" t="s">
        <v>973</v>
      </c>
      <c r="E82" t="s">
        <v>873</v>
      </c>
      <c r="F82" t="s">
        <v>565</v>
      </c>
      <c r="G82" s="3">
        <v>2</v>
      </c>
      <c r="H82" s="3">
        <v>380</v>
      </c>
      <c r="I82">
        <v>462.4</v>
      </c>
      <c r="J82" t="s">
        <v>454</v>
      </c>
      <c r="K82" s="6">
        <v>27.46</v>
      </c>
      <c r="L82" s="6">
        <v>30</v>
      </c>
      <c r="M82" s="5">
        <v>0.91533333333333333</v>
      </c>
      <c r="N82" s="3">
        <v>554</v>
      </c>
      <c r="O82" s="10">
        <v>11</v>
      </c>
      <c r="P82" s="10">
        <v>41</v>
      </c>
      <c r="Q82" s="5">
        <v>0.26829268292682928</v>
      </c>
      <c r="R82" s="5">
        <v>0.19</v>
      </c>
      <c r="S82" s="5">
        <v>1.4120630000000001</v>
      </c>
      <c r="T82" s="3">
        <v>231</v>
      </c>
      <c r="U82" s="10">
        <v>0</v>
      </c>
      <c r="V82" s="10">
        <v>41</v>
      </c>
      <c r="W82" s="5">
        <v>0</v>
      </c>
      <c r="X82" s="5">
        <v>0.05</v>
      </c>
      <c r="Y82" s="5">
        <v>0</v>
      </c>
      <c r="Z82" s="3">
        <v>994</v>
      </c>
      <c r="AA82" s="11">
        <v>0.25</v>
      </c>
      <c r="AB82" s="3">
        <v>1320</v>
      </c>
      <c r="AC82">
        <v>10</v>
      </c>
      <c r="AD82" s="3">
        <v>1</v>
      </c>
      <c r="AE82">
        <v>1</v>
      </c>
      <c r="AF82">
        <v>5</v>
      </c>
      <c r="AG82" s="5">
        <v>0.2</v>
      </c>
      <c r="AH82" s="5">
        <v>0.1</v>
      </c>
      <c r="AI82" s="5">
        <v>2</v>
      </c>
      <c r="AJ82" s="3">
        <v>256</v>
      </c>
      <c r="AK82" s="5">
        <v>0.33333299999999999</v>
      </c>
      <c r="AL82" s="5">
        <v>0.4</v>
      </c>
      <c r="AM82" s="5">
        <v>0.83333199999999996</v>
      </c>
      <c r="AN82" s="3">
        <v>631</v>
      </c>
      <c r="AO82">
        <v>1</v>
      </c>
      <c r="AP82">
        <v>1</v>
      </c>
      <c r="AQ82" s="5">
        <v>1</v>
      </c>
      <c r="AR82" s="5">
        <v>0.8</v>
      </c>
      <c r="AS82" s="5">
        <v>1.25</v>
      </c>
      <c r="AT82" s="5">
        <v>1</v>
      </c>
    </row>
    <row r="83" spans="1:46" hidden="1">
      <c r="A83" s="4" t="str">
        <f>_xlfn.XLOOKUP(Table13[[#This Row],[SAP]],'Location List'!B:B,'Location List'!G:G)</f>
        <v>DFW NORTH</v>
      </c>
      <c r="B83" s="4" t="str">
        <f>LEFT(Table13[[#This Row],[Sap: Loaction]],4)</f>
        <v>465D</v>
      </c>
      <c r="C83" s="4" t="str">
        <f>_xlfn.XLOOKUP(Table13[[#This Row],[Employee]],'Location List'!M:M,'Location List'!N:N,"",0)</f>
        <v/>
      </c>
      <c r="D83" t="s">
        <v>973</v>
      </c>
      <c r="E83" t="s">
        <v>809</v>
      </c>
      <c r="F83" t="s">
        <v>551</v>
      </c>
      <c r="G83" s="3">
        <v>2</v>
      </c>
      <c r="H83" s="3">
        <v>383</v>
      </c>
      <c r="I83">
        <v>462.95</v>
      </c>
      <c r="J83" t="s">
        <v>454</v>
      </c>
      <c r="K83" s="6">
        <v>34.85</v>
      </c>
      <c r="L83" s="6">
        <v>40</v>
      </c>
      <c r="M83" s="5">
        <v>0.87124999999999997</v>
      </c>
      <c r="N83" s="3">
        <v>585</v>
      </c>
      <c r="O83" s="10">
        <v>18</v>
      </c>
      <c r="P83" s="10">
        <v>53</v>
      </c>
      <c r="Q83" s="5">
        <v>0.33962264150943394</v>
      </c>
      <c r="R83" s="5">
        <v>0.19</v>
      </c>
      <c r="S83" s="5">
        <v>1.7874840000000001</v>
      </c>
      <c r="T83" s="3">
        <v>125</v>
      </c>
      <c r="U83" s="10">
        <v>4</v>
      </c>
      <c r="V83" s="10">
        <v>53</v>
      </c>
      <c r="W83" s="5">
        <v>7.5471698113207544E-2</v>
      </c>
      <c r="X83" s="5">
        <v>0.05</v>
      </c>
      <c r="Y83" s="5">
        <v>1.50942</v>
      </c>
      <c r="Z83" s="3">
        <v>72</v>
      </c>
      <c r="AA83" s="11">
        <v>1</v>
      </c>
      <c r="AB83" s="3">
        <v>741</v>
      </c>
      <c r="AC83">
        <v>10</v>
      </c>
      <c r="AD83" s="3">
        <v>1</v>
      </c>
      <c r="AE83">
        <v>0</v>
      </c>
      <c r="AF83">
        <v>14</v>
      </c>
      <c r="AG83" s="5">
        <v>0</v>
      </c>
      <c r="AH83" s="5">
        <v>0.1</v>
      </c>
      <c r="AI83" s="5">
        <v>0</v>
      </c>
      <c r="AJ83" s="3">
        <v>696</v>
      </c>
      <c r="AK83" s="5">
        <v>0.30370366666666665</v>
      </c>
      <c r="AL83" s="5">
        <v>0.4</v>
      </c>
      <c r="AM83" s="5">
        <v>0.75925699999999996</v>
      </c>
      <c r="AN83" s="3">
        <v>751</v>
      </c>
      <c r="AO83">
        <v>1</v>
      </c>
      <c r="AP83">
        <v>6</v>
      </c>
      <c r="AQ83" s="5">
        <v>0.16666666666666666</v>
      </c>
      <c r="AR83" s="5">
        <v>0.8</v>
      </c>
      <c r="AS83" s="5">
        <v>0.20833199999999999</v>
      </c>
      <c r="AT83" s="5">
        <v>893</v>
      </c>
    </row>
    <row r="84" spans="1:46" hidden="1">
      <c r="A84" s="4" t="str">
        <f>_xlfn.XLOOKUP(Table13[[#This Row],[SAP]],'Location List'!B:B,'Location List'!G:G)</f>
        <v>SA/HILL COUNTRY</v>
      </c>
      <c r="B84" s="4" t="str">
        <f>LEFT(Table13[[#This Row],[Sap: Loaction]],4)</f>
        <v>1ESD</v>
      </c>
      <c r="C84" s="4" t="str">
        <f>_xlfn.XLOOKUP(Table13[[#This Row],[Employee]],'Location List'!M:M,'Location List'!N:N,"",0)</f>
        <v/>
      </c>
      <c r="D84" t="s">
        <v>973</v>
      </c>
      <c r="E84" t="s">
        <v>776</v>
      </c>
      <c r="F84" t="s">
        <v>573</v>
      </c>
      <c r="G84" s="3">
        <v>2</v>
      </c>
      <c r="H84" s="3">
        <v>387</v>
      </c>
      <c r="I84">
        <v>463.3</v>
      </c>
      <c r="J84" t="s">
        <v>454</v>
      </c>
      <c r="K84" s="6">
        <v>4.5599999999999996</v>
      </c>
      <c r="L84" s="6">
        <v>39.999999999999993</v>
      </c>
      <c r="M84" s="5">
        <v>0.114</v>
      </c>
      <c r="N84" s="3">
        <v>1120</v>
      </c>
      <c r="O84" s="10">
        <v>14</v>
      </c>
      <c r="P84" s="10">
        <v>40</v>
      </c>
      <c r="Q84" s="5">
        <v>0.35</v>
      </c>
      <c r="R84" s="5">
        <v>0.19</v>
      </c>
      <c r="S84" s="5">
        <v>1.8421050000000001</v>
      </c>
      <c r="T84" s="3">
        <v>111</v>
      </c>
      <c r="U84" s="10">
        <v>4</v>
      </c>
      <c r="V84" s="10">
        <v>40</v>
      </c>
      <c r="W84" s="5">
        <v>0.1</v>
      </c>
      <c r="X84" s="5">
        <v>0.05</v>
      </c>
      <c r="Y84" s="5">
        <v>2</v>
      </c>
      <c r="Z84" s="3">
        <v>25</v>
      </c>
      <c r="AA84" s="11">
        <v>2</v>
      </c>
      <c r="AB84" s="3">
        <v>210</v>
      </c>
      <c r="AC84">
        <v>10</v>
      </c>
      <c r="AD84" s="3">
        <v>1</v>
      </c>
      <c r="AE84">
        <v>0</v>
      </c>
      <c r="AF84">
        <v>8</v>
      </c>
      <c r="AG84" s="5">
        <v>0</v>
      </c>
      <c r="AH84" s="5">
        <v>0.1</v>
      </c>
      <c r="AI84" s="5">
        <v>0</v>
      </c>
      <c r="AJ84" s="3">
        <v>696</v>
      </c>
      <c r="AK84" s="5">
        <v>0.31944433333333333</v>
      </c>
      <c r="AL84" s="5">
        <v>0.4</v>
      </c>
      <c r="AM84" s="5">
        <v>0.79861000000000004</v>
      </c>
      <c r="AN84" s="3">
        <v>738</v>
      </c>
      <c r="AO84">
        <v>6</v>
      </c>
      <c r="AP84">
        <v>10</v>
      </c>
      <c r="AQ84" s="5">
        <v>0.6</v>
      </c>
      <c r="AR84" s="5">
        <v>0.8</v>
      </c>
      <c r="AS84" s="5">
        <v>0.75</v>
      </c>
      <c r="AT84" s="5">
        <v>713</v>
      </c>
    </row>
    <row r="85" spans="1:46">
      <c r="A85" s="4" t="str">
        <f>_xlfn.XLOOKUP(Table13[[#This Row],[SAP]],'Location List'!B:B,'Location List'!G:G)</f>
        <v>DFW NORTH</v>
      </c>
      <c r="B85" s="4" t="str">
        <f>LEFT(Table13[[#This Row],[Sap: Loaction]],4)</f>
        <v>5429</v>
      </c>
      <c r="C85" s="4" t="str">
        <f>_xlfn.XLOOKUP(Table13[[#This Row],[Employee]],'Location List'!M:M,'Location List'!N:N,"",0)</f>
        <v/>
      </c>
      <c r="D85" t="s">
        <v>973</v>
      </c>
      <c r="E85" t="s">
        <v>714</v>
      </c>
      <c r="F85" t="s">
        <v>576</v>
      </c>
      <c r="G85" s="3">
        <v>2</v>
      </c>
      <c r="H85" s="3">
        <v>390</v>
      </c>
      <c r="I85">
        <v>464.6</v>
      </c>
      <c r="J85" t="s">
        <v>454</v>
      </c>
      <c r="K85" s="6">
        <v>33.229999999999997</v>
      </c>
      <c r="L85" s="6">
        <v>40</v>
      </c>
      <c r="M85" s="5">
        <v>0.83074999999999999</v>
      </c>
      <c r="N85" s="3">
        <v>618</v>
      </c>
      <c r="O85" s="10">
        <v>29</v>
      </c>
      <c r="P85" s="10">
        <v>126</v>
      </c>
      <c r="Q85" s="5">
        <v>0.23015873015873015</v>
      </c>
      <c r="R85" s="5">
        <v>0.19</v>
      </c>
      <c r="S85" s="5">
        <v>1.211357</v>
      </c>
      <c r="T85" s="3">
        <v>350</v>
      </c>
      <c r="U85" s="10">
        <v>8</v>
      </c>
      <c r="V85" s="10">
        <v>126</v>
      </c>
      <c r="W85" s="5">
        <v>6.3492063492063489E-2</v>
      </c>
      <c r="X85" s="5">
        <v>0.05</v>
      </c>
      <c r="Y85" s="5">
        <v>1.2698400000000001</v>
      </c>
      <c r="Z85" s="3">
        <v>119</v>
      </c>
      <c r="AA85" s="11">
        <v>1.416666</v>
      </c>
      <c r="AB85" s="3">
        <v>503</v>
      </c>
      <c r="AC85">
        <v>7</v>
      </c>
      <c r="AD85" s="3">
        <v>46</v>
      </c>
      <c r="AE85">
        <v>0</v>
      </c>
      <c r="AF85">
        <v>3</v>
      </c>
      <c r="AG85" s="5">
        <v>0</v>
      </c>
      <c r="AH85" s="5">
        <v>0.1</v>
      </c>
      <c r="AI85" s="5">
        <v>0</v>
      </c>
      <c r="AJ85" s="3">
        <v>696</v>
      </c>
      <c r="AK85" s="5">
        <v>0.38888866666666666</v>
      </c>
      <c r="AL85" s="5">
        <v>0.4</v>
      </c>
      <c r="AM85" s="5">
        <v>0.97221999999999997</v>
      </c>
      <c r="AN85" s="3">
        <v>566</v>
      </c>
      <c r="AO85">
        <v>3</v>
      </c>
      <c r="AP85">
        <v>6</v>
      </c>
      <c r="AQ85" s="5">
        <v>0.5</v>
      </c>
      <c r="AR85" s="5">
        <v>0.8</v>
      </c>
      <c r="AS85" s="5">
        <v>0.625</v>
      </c>
      <c r="AT85" s="5">
        <v>741</v>
      </c>
    </row>
    <row r="86" spans="1:46" hidden="1">
      <c r="A86" s="4" t="str">
        <f>_xlfn.XLOOKUP(Table13[[#This Row],[SAP]],'Location List'!B:B,'Location List'!G:G)</f>
        <v>SOUTH TX/RGV</v>
      </c>
      <c r="B86" s="4" t="str">
        <f>LEFT(Table13[[#This Row],[Sap: Loaction]],4)</f>
        <v>536E</v>
      </c>
      <c r="C86" s="4" t="str">
        <f>_xlfn.XLOOKUP(Table13[[#This Row],[Employee]],'Location List'!M:M,'Location List'!N:N,"",0)</f>
        <v/>
      </c>
      <c r="D86" t="s">
        <v>973</v>
      </c>
      <c r="E86" t="s">
        <v>749</v>
      </c>
      <c r="F86" t="s">
        <v>566</v>
      </c>
      <c r="G86" s="3">
        <v>2</v>
      </c>
      <c r="H86" s="3">
        <v>394</v>
      </c>
      <c r="I86">
        <v>465.05</v>
      </c>
      <c r="J86" t="s">
        <v>454</v>
      </c>
      <c r="K86" s="6">
        <v>36.07</v>
      </c>
      <c r="L86" s="6">
        <v>30.000000000000004</v>
      </c>
      <c r="M86" s="5">
        <v>1.2023333333333333</v>
      </c>
      <c r="N86" s="3">
        <v>362</v>
      </c>
      <c r="O86" s="10">
        <v>10</v>
      </c>
      <c r="P86" s="10">
        <v>67</v>
      </c>
      <c r="Q86" s="5">
        <v>0.14925373134328357</v>
      </c>
      <c r="R86" s="5">
        <v>0.19</v>
      </c>
      <c r="S86" s="5">
        <v>0.78554199999999996</v>
      </c>
      <c r="T86" s="3">
        <v>689</v>
      </c>
      <c r="U86" s="10">
        <v>0</v>
      </c>
      <c r="V86" s="10">
        <v>67</v>
      </c>
      <c r="W86" s="5">
        <v>0</v>
      </c>
      <c r="X86" s="5">
        <v>0.05</v>
      </c>
      <c r="Y86" s="5">
        <v>0</v>
      </c>
      <c r="Z86" s="3">
        <v>994</v>
      </c>
      <c r="AA86" s="11">
        <v>0.66666599999999998</v>
      </c>
      <c r="AB86" s="3">
        <v>1060</v>
      </c>
      <c r="AC86">
        <v>5</v>
      </c>
      <c r="AD86" s="3">
        <v>62</v>
      </c>
      <c r="AE86">
        <v>2</v>
      </c>
      <c r="AF86">
        <v>8</v>
      </c>
      <c r="AG86" s="5">
        <v>0.25</v>
      </c>
      <c r="AH86" s="5">
        <v>0.1</v>
      </c>
      <c r="AI86" s="5">
        <v>2.5</v>
      </c>
      <c r="AJ86" s="3">
        <v>191</v>
      </c>
      <c r="AK86" s="5">
        <v>0.5</v>
      </c>
      <c r="AL86" s="5">
        <v>0.4</v>
      </c>
      <c r="AM86" s="5">
        <v>1.25</v>
      </c>
      <c r="AN86" s="3">
        <v>326</v>
      </c>
      <c r="AO86">
        <v>3</v>
      </c>
      <c r="AP86">
        <v>3</v>
      </c>
      <c r="AQ86" s="5">
        <v>1</v>
      </c>
      <c r="AR86" s="5">
        <v>0.8</v>
      </c>
      <c r="AS86" s="5">
        <v>1.25</v>
      </c>
      <c r="AT86" s="5">
        <v>1</v>
      </c>
    </row>
    <row r="87" spans="1:46" hidden="1">
      <c r="A87" s="4" t="str">
        <f>_xlfn.XLOOKUP(Table13[[#This Row],[SAP]],'Location List'!B:B,'Location List'!G:G)</f>
        <v>SA/HILL COUNTRY</v>
      </c>
      <c r="B87" s="4" t="str">
        <f>LEFT(Table13[[#This Row],[Sap: Loaction]],4)</f>
        <v>776D</v>
      </c>
      <c r="C87" s="4" t="str">
        <f>_xlfn.XLOOKUP(Table13[[#This Row],[Employee]],'Location List'!M:M,'Location List'!N:N,"",0)</f>
        <v/>
      </c>
      <c r="D87" t="s">
        <v>973</v>
      </c>
      <c r="E87" t="s">
        <v>989</v>
      </c>
      <c r="F87" t="s">
        <v>516</v>
      </c>
      <c r="G87" s="3">
        <v>2</v>
      </c>
      <c r="H87" s="3">
        <v>397</v>
      </c>
      <c r="I87">
        <v>465.25</v>
      </c>
      <c r="J87" t="s">
        <v>454</v>
      </c>
      <c r="K87" s="6">
        <v>12.43</v>
      </c>
      <c r="L87" s="6">
        <v>35</v>
      </c>
      <c r="M87" s="5">
        <v>0.35514285714285715</v>
      </c>
      <c r="N87" s="3">
        <v>956</v>
      </c>
      <c r="O87" s="10">
        <v>6</v>
      </c>
      <c r="P87" s="10">
        <v>45</v>
      </c>
      <c r="Q87" s="5">
        <v>0.13333333333333333</v>
      </c>
      <c r="R87" s="5">
        <v>0.19</v>
      </c>
      <c r="S87" s="5">
        <v>0.70175200000000004</v>
      </c>
      <c r="T87" s="3">
        <v>781</v>
      </c>
      <c r="U87" s="10">
        <v>5</v>
      </c>
      <c r="V87" s="10">
        <v>45</v>
      </c>
      <c r="W87" s="5">
        <v>0.1111111111111111</v>
      </c>
      <c r="X87" s="5">
        <v>0.05</v>
      </c>
      <c r="Y87" s="5">
        <v>2.2222200000000001</v>
      </c>
      <c r="Z87" s="3">
        <v>18</v>
      </c>
      <c r="AA87" s="11">
        <v>0.72727200000000003</v>
      </c>
      <c r="AB87" s="3">
        <v>1024</v>
      </c>
      <c r="AC87">
        <v>7</v>
      </c>
      <c r="AD87" s="3">
        <v>46</v>
      </c>
      <c r="AE87">
        <v>4</v>
      </c>
      <c r="AF87">
        <v>14</v>
      </c>
      <c r="AG87" s="5">
        <v>0.2857142857142857</v>
      </c>
      <c r="AH87" s="5">
        <v>0.1</v>
      </c>
      <c r="AI87" s="5">
        <v>2.8571399999999998</v>
      </c>
      <c r="AJ87" s="3">
        <v>161</v>
      </c>
      <c r="AK87" s="5">
        <v>0.5</v>
      </c>
      <c r="AL87" s="5">
        <v>0.4</v>
      </c>
      <c r="AM87" s="5">
        <v>1.25</v>
      </c>
      <c r="AN87" s="3">
        <v>326</v>
      </c>
      <c r="AO87">
        <v>1</v>
      </c>
      <c r="AP87">
        <v>1</v>
      </c>
      <c r="AQ87" s="5">
        <v>1</v>
      </c>
      <c r="AR87" s="5">
        <v>0.8</v>
      </c>
      <c r="AS87" s="5">
        <v>1.25</v>
      </c>
      <c r="AT87" s="5">
        <v>1</v>
      </c>
    </row>
    <row r="88" spans="1:46" hidden="1">
      <c r="A88" s="4" t="str">
        <f>_xlfn.XLOOKUP(Table13[[#This Row],[SAP]],'Location List'!B:B,'Location List'!G:G)</f>
        <v>CENTRAL TEXAS</v>
      </c>
      <c r="B88" s="4" t="str">
        <f>LEFT(Table13[[#This Row],[Sap: Loaction]],4)</f>
        <v>1FSU</v>
      </c>
      <c r="C88" s="4" t="str">
        <f>_xlfn.XLOOKUP(Table13[[#This Row],[Employee]],'Location List'!M:M,'Location List'!N:N,"",0)</f>
        <v>RSM</v>
      </c>
      <c r="D88" t="s">
        <v>973</v>
      </c>
      <c r="E88" t="s">
        <v>666</v>
      </c>
      <c r="F88" t="s">
        <v>523</v>
      </c>
      <c r="G88" s="3">
        <v>2</v>
      </c>
      <c r="H88" s="3">
        <v>399</v>
      </c>
      <c r="I88">
        <v>466.05</v>
      </c>
      <c r="J88" t="s">
        <v>454</v>
      </c>
      <c r="K88" s="6">
        <v>30.61</v>
      </c>
      <c r="L88" s="6">
        <v>30</v>
      </c>
      <c r="M88" s="5">
        <v>1.0203333333333333</v>
      </c>
      <c r="N88" s="3">
        <v>476</v>
      </c>
      <c r="O88" s="10">
        <v>8</v>
      </c>
      <c r="P88" s="10">
        <v>50</v>
      </c>
      <c r="Q88" s="5">
        <v>0.16</v>
      </c>
      <c r="R88" s="5">
        <v>0.19</v>
      </c>
      <c r="S88" s="5">
        <v>0.84210499999999999</v>
      </c>
      <c r="T88" s="3">
        <v>640</v>
      </c>
      <c r="U88" s="10">
        <v>12</v>
      </c>
      <c r="V88" s="10">
        <v>50</v>
      </c>
      <c r="W88" s="5">
        <v>0.24</v>
      </c>
      <c r="X88" s="5">
        <v>0.05</v>
      </c>
      <c r="Y88" s="5">
        <v>4.8</v>
      </c>
      <c r="Z88" s="3">
        <v>2</v>
      </c>
      <c r="AA88" s="11">
        <v>0.78571400000000002</v>
      </c>
      <c r="AB88" s="3">
        <v>976</v>
      </c>
      <c r="AC88">
        <v>10</v>
      </c>
      <c r="AD88" s="3">
        <v>1</v>
      </c>
      <c r="AE88">
        <v>7</v>
      </c>
      <c r="AF88">
        <v>19</v>
      </c>
      <c r="AG88" s="5">
        <v>0.36842105263157893</v>
      </c>
      <c r="AH88" s="5">
        <v>0.1</v>
      </c>
      <c r="AI88" s="5">
        <v>3.6842100000000002</v>
      </c>
      <c r="AJ88" s="3">
        <v>103</v>
      </c>
      <c r="AK88" s="5">
        <v>0.33333299999999999</v>
      </c>
      <c r="AL88" s="5">
        <v>0.4</v>
      </c>
      <c r="AM88" s="5">
        <v>0.83333199999999996</v>
      </c>
      <c r="AN88" s="3">
        <v>631</v>
      </c>
      <c r="AO88">
        <v>0</v>
      </c>
      <c r="AP88">
        <v>0</v>
      </c>
      <c r="AQ88" s="5" t="s">
        <v>653</v>
      </c>
      <c r="AR88" s="5">
        <v>0.8</v>
      </c>
      <c r="AS88" s="5">
        <v>0</v>
      </c>
      <c r="AT88" s="5">
        <v>902</v>
      </c>
    </row>
    <row r="89" spans="1:46">
      <c r="A89" s="4" t="str">
        <f>_xlfn.XLOOKUP(Table13[[#This Row],[SAP]],'Location List'!B:B,'Location List'!G:G)</f>
        <v>KS/OK</v>
      </c>
      <c r="B89" s="4" t="str">
        <f>LEFT(Table13[[#This Row],[Sap: Loaction]],4)</f>
        <v>407D</v>
      </c>
      <c r="C89" s="4" t="str">
        <f>_xlfn.XLOOKUP(Table13[[#This Row],[Employee]],'Location List'!M:M,'Location List'!N:N,"",0)</f>
        <v/>
      </c>
      <c r="D89" t="s">
        <v>973</v>
      </c>
      <c r="E89" t="s">
        <v>645</v>
      </c>
      <c r="F89" t="s">
        <v>556</v>
      </c>
      <c r="G89" s="3">
        <v>2</v>
      </c>
      <c r="H89" s="3">
        <v>403</v>
      </c>
      <c r="I89">
        <v>467.85</v>
      </c>
      <c r="J89" t="s">
        <v>454</v>
      </c>
      <c r="K89" s="6">
        <v>66.349999999999994</v>
      </c>
      <c r="L89" s="6">
        <v>40</v>
      </c>
      <c r="M89" s="5">
        <v>1.6587499999999999</v>
      </c>
      <c r="N89" s="3">
        <v>169</v>
      </c>
      <c r="O89" s="10">
        <v>22</v>
      </c>
      <c r="P89" s="10">
        <v>100</v>
      </c>
      <c r="Q89" s="5">
        <v>0.22</v>
      </c>
      <c r="R89" s="5">
        <v>0.19</v>
      </c>
      <c r="S89" s="5">
        <v>1.157894</v>
      </c>
      <c r="T89" s="3">
        <v>392</v>
      </c>
      <c r="U89" s="10">
        <v>0</v>
      </c>
      <c r="V89" s="10">
        <v>100</v>
      </c>
      <c r="W89" s="5">
        <v>0</v>
      </c>
      <c r="X89" s="5">
        <v>0.05</v>
      </c>
      <c r="Y89" s="5">
        <v>0</v>
      </c>
      <c r="Z89" s="3">
        <v>994</v>
      </c>
      <c r="AA89" s="11">
        <v>1.416666</v>
      </c>
      <c r="AB89" s="3">
        <v>503</v>
      </c>
      <c r="AC89">
        <v>6</v>
      </c>
      <c r="AD89" s="3">
        <v>55</v>
      </c>
      <c r="AE89">
        <v>4</v>
      </c>
      <c r="AF89">
        <v>22</v>
      </c>
      <c r="AG89" s="5">
        <v>0.18181818181818182</v>
      </c>
      <c r="AH89" s="5">
        <v>0.1</v>
      </c>
      <c r="AI89" s="5">
        <v>1.8181799999999999</v>
      </c>
      <c r="AJ89" s="3">
        <v>306</v>
      </c>
      <c r="AK89" s="5">
        <v>0.22727249999999999</v>
      </c>
      <c r="AL89" s="5">
        <v>0.4</v>
      </c>
      <c r="AM89" s="5">
        <v>0.56818000000000002</v>
      </c>
      <c r="AN89" s="3">
        <v>889</v>
      </c>
      <c r="AO89">
        <v>2</v>
      </c>
      <c r="AP89">
        <v>4</v>
      </c>
      <c r="AQ89" s="5">
        <v>0.5</v>
      </c>
      <c r="AR89" s="5">
        <v>0.8</v>
      </c>
      <c r="AS89" s="5">
        <v>0.625</v>
      </c>
      <c r="AT89" s="5">
        <v>741</v>
      </c>
    </row>
    <row r="90" spans="1:46" hidden="1">
      <c r="A90" s="4" t="str">
        <f>_xlfn.XLOOKUP(Table13[[#This Row],[SAP]],'Location List'!B:B,'Location List'!G:G)</f>
        <v>KS/OK</v>
      </c>
      <c r="B90" s="4" t="str">
        <f>LEFT(Table13[[#This Row],[Sap: Loaction]],4)</f>
        <v>849C</v>
      </c>
      <c r="C90" s="4" t="str">
        <f>_xlfn.XLOOKUP(Table13[[#This Row],[Employee]],'Location List'!M:M,'Location List'!N:N,"",0)</f>
        <v/>
      </c>
      <c r="D90" t="s">
        <v>973</v>
      </c>
      <c r="E90" t="s">
        <v>997</v>
      </c>
      <c r="F90" t="s">
        <v>526</v>
      </c>
      <c r="G90" s="3">
        <v>2</v>
      </c>
      <c r="H90" s="3">
        <v>406</v>
      </c>
      <c r="I90">
        <v>468.45</v>
      </c>
      <c r="J90" t="s">
        <v>454</v>
      </c>
      <c r="K90" s="6">
        <v>50.27</v>
      </c>
      <c r="L90" s="6">
        <v>40</v>
      </c>
      <c r="M90" s="5">
        <v>1.25675</v>
      </c>
      <c r="N90" s="3">
        <v>341</v>
      </c>
      <c r="O90" s="10">
        <v>20</v>
      </c>
      <c r="P90" s="10">
        <v>137</v>
      </c>
      <c r="Q90" s="5">
        <v>0.145985401459854</v>
      </c>
      <c r="R90" s="5">
        <v>0.19</v>
      </c>
      <c r="S90" s="5">
        <v>0.76834199999999997</v>
      </c>
      <c r="T90" s="3">
        <v>703</v>
      </c>
      <c r="U90" s="10">
        <v>4</v>
      </c>
      <c r="V90" s="10">
        <v>137</v>
      </c>
      <c r="W90" s="5">
        <v>2.9197080291970802E-2</v>
      </c>
      <c r="X90" s="5">
        <v>0.05</v>
      </c>
      <c r="Y90" s="5">
        <v>0.58394000000000001</v>
      </c>
      <c r="Z90" s="3">
        <v>476</v>
      </c>
      <c r="AA90" s="11">
        <v>0.75</v>
      </c>
      <c r="AB90" s="3">
        <v>992</v>
      </c>
      <c r="AC90">
        <v>9</v>
      </c>
      <c r="AD90" s="3">
        <v>22</v>
      </c>
      <c r="AE90">
        <v>3</v>
      </c>
      <c r="AF90">
        <v>25</v>
      </c>
      <c r="AG90" s="5">
        <v>0.12</v>
      </c>
      <c r="AH90" s="5">
        <v>0.1</v>
      </c>
      <c r="AI90" s="5">
        <v>1.2</v>
      </c>
      <c r="AJ90" s="3">
        <v>430</v>
      </c>
      <c r="AK90" s="5">
        <v>0.33333333333333331</v>
      </c>
      <c r="AL90" s="5">
        <v>0.4</v>
      </c>
      <c r="AM90" s="5">
        <v>0.83333199999999996</v>
      </c>
      <c r="AN90" s="3">
        <v>631</v>
      </c>
      <c r="AO90">
        <v>1</v>
      </c>
      <c r="AP90">
        <v>1</v>
      </c>
      <c r="AQ90" s="5">
        <v>1</v>
      </c>
      <c r="AR90" s="5">
        <v>0.8</v>
      </c>
      <c r="AS90" s="5">
        <v>1.25</v>
      </c>
      <c r="AT90" s="5">
        <v>1</v>
      </c>
    </row>
    <row r="91" spans="1:46" hidden="1">
      <c r="A91" s="4" t="str">
        <f>_xlfn.XLOOKUP(Table13[[#This Row],[SAP]],'Location List'!B:B,'Location List'!G:G)</f>
        <v>SOUTH TX/RGV</v>
      </c>
      <c r="B91" s="4" t="str">
        <f>LEFT(Table13[[#This Row],[Sap: Loaction]],4)</f>
        <v>598D</v>
      </c>
      <c r="C91" s="4" t="str">
        <f>_xlfn.XLOOKUP(Table13[[#This Row],[Employee]],'Location List'!M:M,'Location List'!N:N,"",0)</f>
        <v/>
      </c>
      <c r="D91" t="s">
        <v>973</v>
      </c>
      <c r="E91" t="s">
        <v>862</v>
      </c>
      <c r="F91" t="s">
        <v>574</v>
      </c>
      <c r="G91" s="3">
        <v>2</v>
      </c>
      <c r="H91" s="3">
        <v>406</v>
      </c>
      <c r="I91">
        <v>468.45</v>
      </c>
      <c r="J91" t="s">
        <v>454</v>
      </c>
      <c r="K91" s="6">
        <v>5.82</v>
      </c>
      <c r="L91" s="6">
        <v>40.000000000000007</v>
      </c>
      <c r="M91" s="5">
        <v>0.14549999999999999</v>
      </c>
      <c r="N91" s="3">
        <v>1105</v>
      </c>
      <c r="O91" s="10">
        <v>16</v>
      </c>
      <c r="P91" s="10">
        <v>78</v>
      </c>
      <c r="Q91" s="5">
        <v>0.20512820512820512</v>
      </c>
      <c r="R91" s="5">
        <v>0.19</v>
      </c>
      <c r="S91" s="5">
        <v>1.0796209999999999</v>
      </c>
      <c r="T91" s="3">
        <v>440</v>
      </c>
      <c r="U91" s="10">
        <v>2</v>
      </c>
      <c r="V91" s="10">
        <v>78</v>
      </c>
      <c r="W91" s="5">
        <v>2.564102564102564E-2</v>
      </c>
      <c r="X91" s="5">
        <v>0.05</v>
      </c>
      <c r="Y91" s="5">
        <v>0.51282000000000005</v>
      </c>
      <c r="Z91" s="3">
        <v>522</v>
      </c>
      <c r="AA91" s="11">
        <v>4</v>
      </c>
      <c r="AB91" s="3">
        <v>29</v>
      </c>
      <c r="AC91">
        <v>10</v>
      </c>
      <c r="AD91" s="3">
        <v>1</v>
      </c>
      <c r="AE91">
        <v>0</v>
      </c>
      <c r="AF91">
        <v>9</v>
      </c>
      <c r="AG91" s="5">
        <v>0</v>
      </c>
      <c r="AH91" s="5">
        <v>0.1</v>
      </c>
      <c r="AI91" s="5">
        <v>0</v>
      </c>
      <c r="AJ91" s="3">
        <v>696</v>
      </c>
      <c r="AK91" s="5">
        <v>0.4</v>
      </c>
      <c r="AL91" s="5">
        <v>0.4</v>
      </c>
      <c r="AM91" s="5">
        <v>1</v>
      </c>
      <c r="AN91" s="3">
        <v>550</v>
      </c>
      <c r="AO91">
        <v>3</v>
      </c>
      <c r="AP91">
        <v>3</v>
      </c>
      <c r="AQ91" s="5">
        <v>1</v>
      </c>
      <c r="AR91" s="5">
        <v>0.8</v>
      </c>
      <c r="AS91" s="5">
        <v>1.25</v>
      </c>
      <c r="AT91" s="5">
        <v>1</v>
      </c>
    </row>
    <row r="92" spans="1:46" hidden="1">
      <c r="A92" s="4" t="str">
        <f>_xlfn.XLOOKUP(Table13[[#This Row],[SAP]],'Location List'!B:B,'Location List'!G:G)</f>
        <v>CENTRAL TEXAS</v>
      </c>
      <c r="B92" s="4" t="str">
        <f>LEFT(Table13[[#This Row],[Sap: Loaction]],4)</f>
        <v>1FSC</v>
      </c>
      <c r="C92" s="4" t="str">
        <f>_xlfn.XLOOKUP(Table13[[#This Row],[Employee]],'Location List'!M:M,'Location List'!N:N,"",0)</f>
        <v/>
      </c>
      <c r="D92" t="s">
        <v>973</v>
      </c>
      <c r="E92" t="s">
        <v>818</v>
      </c>
      <c r="F92" t="s">
        <v>524</v>
      </c>
      <c r="G92" s="3">
        <v>2</v>
      </c>
      <c r="H92" s="3">
        <v>408</v>
      </c>
      <c r="I92">
        <v>469.25</v>
      </c>
      <c r="J92" t="s">
        <v>454</v>
      </c>
      <c r="K92" s="6">
        <v>28.88</v>
      </c>
      <c r="L92" s="6">
        <v>40</v>
      </c>
      <c r="M92" s="5">
        <v>0.72199999999999998</v>
      </c>
      <c r="N92" s="3">
        <v>695</v>
      </c>
      <c r="O92" s="10">
        <v>7</v>
      </c>
      <c r="P92" s="10">
        <v>34</v>
      </c>
      <c r="Q92" s="5">
        <v>0.20588235294117646</v>
      </c>
      <c r="R92" s="5">
        <v>0.19</v>
      </c>
      <c r="S92" s="5">
        <v>1.0835889999999999</v>
      </c>
      <c r="T92" s="3">
        <v>434</v>
      </c>
      <c r="U92" s="10">
        <v>1</v>
      </c>
      <c r="V92" s="10">
        <v>34</v>
      </c>
      <c r="W92" s="5">
        <v>2.9411764705882353E-2</v>
      </c>
      <c r="X92" s="5">
        <v>0.05</v>
      </c>
      <c r="Y92" s="5">
        <v>0.58821999999999997</v>
      </c>
      <c r="Z92" s="3">
        <v>465</v>
      </c>
      <c r="AA92" s="11">
        <v>1</v>
      </c>
      <c r="AB92" s="3">
        <v>741</v>
      </c>
      <c r="AC92">
        <v>10</v>
      </c>
      <c r="AD92" s="3">
        <v>1</v>
      </c>
      <c r="AE92">
        <v>0</v>
      </c>
      <c r="AF92">
        <v>7</v>
      </c>
      <c r="AG92" s="5">
        <v>0</v>
      </c>
      <c r="AH92" s="5">
        <v>0.1</v>
      </c>
      <c r="AI92" s="5">
        <v>0</v>
      </c>
      <c r="AJ92" s="3">
        <v>696</v>
      </c>
      <c r="AK92" s="5">
        <v>0.4166665</v>
      </c>
      <c r="AL92" s="5">
        <v>0.4</v>
      </c>
      <c r="AM92" s="5">
        <v>1.0416650000000001</v>
      </c>
      <c r="AN92" s="3">
        <v>530</v>
      </c>
      <c r="AO92">
        <v>4</v>
      </c>
      <c r="AP92">
        <v>4</v>
      </c>
      <c r="AQ92" s="5">
        <v>1</v>
      </c>
      <c r="AR92" s="5">
        <v>0.8</v>
      </c>
      <c r="AS92" s="5">
        <v>1.25</v>
      </c>
      <c r="AT92" s="5">
        <v>1</v>
      </c>
    </row>
    <row r="93" spans="1:46" hidden="1">
      <c r="A93" s="4" t="str">
        <f>_xlfn.XLOOKUP(Table13[[#This Row],[SAP]],'Location List'!B:B,'Location List'!G:G)</f>
        <v>DFW EAST</v>
      </c>
      <c r="B93" s="4" t="str">
        <f>LEFT(Table13[[#This Row],[Sap: Loaction]],4)</f>
        <v>1357</v>
      </c>
      <c r="C93" s="4" t="str">
        <f>_xlfn.XLOOKUP(Table13[[#This Row],[Employee]],'Location List'!M:M,'Location List'!N:N,"",0)</f>
        <v/>
      </c>
      <c r="D93" t="s">
        <v>973</v>
      </c>
      <c r="E93" t="s">
        <v>970</v>
      </c>
      <c r="F93" t="s">
        <v>549</v>
      </c>
      <c r="G93" s="3">
        <v>2</v>
      </c>
      <c r="H93" s="3">
        <v>417</v>
      </c>
      <c r="I93">
        <v>472.5</v>
      </c>
      <c r="J93" t="s">
        <v>454</v>
      </c>
      <c r="K93" s="6">
        <v>74.83</v>
      </c>
      <c r="L93" s="6">
        <v>40</v>
      </c>
      <c r="M93" s="5">
        <v>1.8707499999999999</v>
      </c>
      <c r="N93" s="3">
        <v>114</v>
      </c>
      <c r="O93" s="10">
        <v>27</v>
      </c>
      <c r="P93" s="10">
        <v>111</v>
      </c>
      <c r="Q93" s="5">
        <v>0.24324324324324326</v>
      </c>
      <c r="R93" s="5">
        <v>0.19</v>
      </c>
      <c r="S93" s="5">
        <v>1.2802260000000001</v>
      </c>
      <c r="T93" s="3">
        <v>296</v>
      </c>
      <c r="U93" s="10">
        <v>0</v>
      </c>
      <c r="V93" s="10">
        <v>111</v>
      </c>
      <c r="W93" s="5">
        <v>0</v>
      </c>
      <c r="X93" s="5">
        <v>0.05</v>
      </c>
      <c r="Y93" s="5">
        <v>0</v>
      </c>
      <c r="Z93" s="3">
        <v>994</v>
      </c>
      <c r="AA93" s="11">
        <v>0.9</v>
      </c>
      <c r="AB93" s="3">
        <v>878</v>
      </c>
      <c r="AC93">
        <v>10</v>
      </c>
      <c r="AD93" s="3">
        <v>1</v>
      </c>
      <c r="AE93">
        <v>0</v>
      </c>
      <c r="AF93">
        <v>8</v>
      </c>
      <c r="AG93" s="5">
        <v>0</v>
      </c>
      <c r="AH93" s="5">
        <v>0.1</v>
      </c>
      <c r="AI93" s="5">
        <v>0</v>
      </c>
      <c r="AJ93" s="3">
        <v>696</v>
      </c>
      <c r="AK93" s="5">
        <v>0.13333333333333333</v>
      </c>
      <c r="AL93" s="5">
        <v>0.4</v>
      </c>
      <c r="AM93" s="5">
        <v>0.33333200000000002</v>
      </c>
      <c r="AN93" s="3">
        <v>1044</v>
      </c>
      <c r="AO93">
        <v>4</v>
      </c>
      <c r="AP93">
        <v>4</v>
      </c>
      <c r="AQ93" s="5">
        <v>1</v>
      </c>
      <c r="AR93" s="5">
        <v>0.8</v>
      </c>
      <c r="AS93" s="5">
        <v>1.25</v>
      </c>
      <c r="AT93" s="5">
        <v>1</v>
      </c>
    </row>
    <row r="94" spans="1:46" hidden="1">
      <c r="A94" s="4" t="str">
        <f>_xlfn.XLOOKUP(Table13[[#This Row],[SAP]],'Location List'!B:B,'Location List'!G:G)</f>
        <v>KS/OK</v>
      </c>
      <c r="B94" s="4" t="str">
        <f>LEFT(Table13[[#This Row],[Sap: Loaction]],4)</f>
        <v>4789</v>
      </c>
      <c r="C94" s="4" t="str">
        <f>_xlfn.XLOOKUP(Table13[[#This Row],[Employee]],'Location List'!M:M,'Location List'!N:N,"",0)</f>
        <v/>
      </c>
      <c r="D94" t="s">
        <v>973</v>
      </c>
      <c r="E94" t="s">
        <v>603</v>
      </c>
      <c r="F94" t="s">
        <v>501</v>
      </c>
      <c r="G94" s="3">
        <v>2</v>
      </c>
      <c r="H94" s="3">
        <v>418</v>
      </c>
      <c r="I94">
        <v>472.7</v>
      </c>
      <c r="J94" t="s">
        <v>454</v>
      </c>
      <c r="K94" s="6">
        <v>25.64</v>
      </c>
      <c r="L94" s="6">
        <v>40</v>
      </c>
      <c r="M94" s="5">
        <v>0.64100000000000001</v>
      </c>
      <c r="N94" s="3">
        <v>756</v>
      </c>
      <c r="O94" s="10">
        <v>16</v>
      </c>
      <c r="P94" s="10">
        <v>96</v>
      </c>
      <c r="Q94" s="5">
        <v>0.16666666666666666</v>
      </c>
      <c r="R94" s="5">
        <v>0.19</v>
      </c>
      <c r="S94" s="5">
        <v>0.877189</v>
      </c>
      <c r="T94" s="3">
        <v>606</v>
      </c>
      <c r="U94" s="10">
        <v>1</v>
      </c>
      <c r="V94" s="10">
        <v>96</v>
      </c>
      <c r="W94" s="5">
        <v>1.0416666666666666E-2</v>
      </c>
      <c r="X94" s="5">
        <v>0.05</v>
      </c>
      <c r="Y94" s="5">
        <v>0.20832000000000001</v>
      </c>
      <c r="Z94" s="3">
        <v>923</v>
      </c>
      <c r="AA94" s="11">
        <v>1.375</v>
      </c>
      <c r="AB94" s="3">
        <v>534</v>
      </c>
      <c r="AC94">
        <v>10</v>
      </c>
      <c r="AD94" s="3">
        <v>1</v>
      </c>
      <c r="AE94">
        <v>3</v>
      </c>
      <c r="AF94">
        <v>14</v>
      </c>
      <c r="AG94" s="5">
        <v>0.21428571428571427</v>
      </c>
      <c r="AH94" s="5">
        <v>0.1</v>
      </c>
      <c r="AI94" s="5">
        <v>2.1428500000000001</v>
      </c>
      <c r="AJ94" s="3">
        <v>248</v>
      </c>
      <c r="AK94" s="5">
        <v>0.39999999999999997</v>
      </c>
      <c r="AL94" s="5">
        <v>0.4</v>
      </c>
      <c r="AM94" s="5">
        <v>1</v>
      </c>
      <c r="AN94" s="3">
        <v>550</v>
      </c>
      <c r="AO94">
        <v>1</v>
      </c>
      <c r="AP94">
        <v>1</v>
      </c>
      <c r="AQ94" s="5">
        <v>1</v>
      </c>
      <c r="AR94" s="5">
        <v>0.8</v>
      </c>
      <c r="AS94" s="5">
        <v>1.25</v>
      </c>
      <c r="AT94" s="5">
        <v>1</v>
      </c>
    </row>
    <row r="95" spans="1:46" hidden="1">
      <c r="A95" t="str">
        <f>_xlfn.XLOOKUP(Table13[[#This Row],[SAP]],'Location List'!B:B,'Location List'!G:G)</f>
        <v>DFW EAST</v>
      </c>
      <c r="B95" t="str">
        <f>LEFT(Table13[[#This Row],[Sap: Loaction]],4)</f>
        <v>5784</v>
      </c>
      <c r="C95" s="4" t="str">
        <f>_xlfn.XLOOKUP(Table13[[#This Row],[Employee]],'Location List'!M:M,'Location List'!N:N,"",0)</f>
        <v/>
      </c>
      <c r="D95" t="s">
        <v>973</v>
      </c>
      <c r="E95" t="s">
        <v>718</v>
      </c>
      <c r="F95" t="s">
        <v>541</v>
      </c>
      <c r="G95" s="3">
        <v>2</v>
      </c>
      <c r="H95" s="3">
        <v>420</v>
      </c>
      <c r="I95">
        <v>473.75</v>
      </c>
      <c r="J95" t="s">
        <v>454</v>
      </c>
      <c r="K95" s="6">
        <v>36.65</v>
      </c>
      <c r="L95" s="6">
        <v>40</v>
      </c>
      <c r="M95" s="5">
        <v>0.91625000000000001</v>
      </c>
      <c r="N95" s="3">
        <v>553</v>
      </c>
      <c r="O95" s="10">
        <v>17</v>
      </c>
      <c r="P95" s="10">
        <v>82</v>
      </c>
      <c r="Q95" s="5">
        <v>0.2073170731707317</v>
      </c>
      <c r="R95" s="5">
        <v>0.19</v>
      </c>
      <c r="S95" s="5">
        <v>1.0911420000000001</v>
      </c>
      <c r="T95" s="3">
        <v>431</v>
      </c>
      <c r="U95" s="10">
        <v>0</v>
      </c>
      <c r="V95" s="10">
        <v>82</v>
      </c>
      <c r="W95" s="5">
        <v>0</v>
      </c>
      <c r="X95" s="5">
        <v>0.05</v>
      </c>
      <c r="Y95" s="5">
        <v>0</v>
      </c>
      <c r="Z95" s="3">
        <v>994</v>
      </c>
      <c r="AA95" s="11">
        <v>1.461538</v>
      </c>
      <c r="AB95" s="3">
        <v>481</v>
      </c>
      <c r="AC95">
        <v>10</v>
      </c>
      <c r="AD95" s="3">
        <v>1</v>
      </c>
      <c r="AE95">
        <v>4</v>
      </c>
      <c r="AF95">
        <v>9</v>
      </c>
      <c r="AG95" s="5">
        <v>0.44444444444444442</v>
      </c>
      <c r="AH95" s="5">
        <v>0.1</v>
      </c>
      <c r="AI95" s="5">
        <v>4.4444400000000002</v>
      </c>
      <c r="AJ95" s="3">
        <v>68</v>
      </c>
      <c r="AK95" s="5">
        <v>0.38888850000000003</v>
      </c>
      <c r="AL95" s="5">
        <v>0.4</v>
      </c>
      <c r="AM95" s="5">
        <v>0.97221999999999997</v>
      </c>
      <c r="AN95" s="3">
        <v>566</v>
      </c>
      <c r="AO95">
        <v>0</v>
      </c>
      <c r="AP95">
        <v>4</v>
      </c>
      <c r="AQ95" s="5">
        <v>0</v>
      </c>
      <c r="AR95" s="5">
        <v>0.8</v>
      </c>
      <c r="AS95" s="5">
        <v>0</v>
      </c>
      <c r="AT95" s="5">
        <v>902</v>
      </c>
    </row>
    <row r="96" spans="1:46" hidden="1">
      <c r="A96" t="str">
        <f>_xlfn.XLOOKUP(Table13[[#This Row],[SAP]],'Location List'!B:B,'Location List'!G:G)</f>
        <v>DFW NORTH</v>
      </c>
      <c r="B96" t="str">
        <f>LEFT(Table13[[#This Row],[Sap: Loaction]],4)</f>
        <v>1239</v>
      </c>
      <c r="C96" s="4" t="str">
        <f>_xlfn.XLOOKUP(Table13[[#This Row],[Employee]],'Location List'!M:M,'Location List'!N:N,"",0)</f>
        <v/>
      </c>
      <c r="D96" t="s">
        <v>973</v>
      </c>
      <c r="E96" t="s">
        <v>723</v>
      </c>
      <c r="F96" t="s">
        <v>582</v>
      </c>
      <c r="G96" s="3">
        <v>2</v>
      </c>
      <c r="H96" s="3">
        <v>423</v>
      </c>
      <c r="I96">
        <v>474.35</v>
      </c>
      <c r="J96" t="s">
        <v>454</v>
      </c>
      <c r="K96" s="6">
        <v>-40.39</v>
      </c>
      <c r="L96" s="6">
        <v>35</v>
      </c>
      <c r="M96" s="5">
        <v>-1.1539999999999999</v>
      </c>
      <c r="N96" s="3">
        <v>1439</v>
      </c>
      <c r="O96" s="10">
        <v>16</v>
      </c>
      <c r="P96" s="10">
        <v>44</v>
      </c>
      <c r="Q96" s="5">
        <v>0.36363636363636365</v>
      </c>
      <c r="R96" s="5">
        <v>0.19</v>
      </c>
      <c r="S96" s="5">
        <v>1.9138729999999999</v>
      </c>
      <c r="T96" s="3">
        <v>98</v>
      </c>
      <c r="U96" s="10">
        <v>4</v>
      </c>
      <c r="V96" s="10">
        <v>44</v>
      </c>
      <c r="W96" s="5">
        <v>9.0909090909090912E-2</v>
      </c>
      <c r="X96" s="5">
        <v>0.05</v>
      </c>
      <c r="Y96" s="5">
        <v>1.8181799999999999</v>
      </c>
      <c r="Z96" s="3">
        <v>33</v>
      </c>
      <c r="AA96" s="11">
        <v>1.8125</v>
      </c>
      <c r="AB96" s="3">
        <v>312</v>
      </c>
      <c r="AC96">
        <v>10</v>
      </c>
      <c r="AD96" s="3">
        <v>1</v>
      </c>
      <c r="AE96">
        <v>0</v>
      </c>
      <c r="AF96">
        <v>7</v>
      </c>
      <c r="AG96" s="5">
        <v>0</v>
      </c>
      <c r="AH96" s="5">
        <v>0.1</v>
      </c>
      <c r="AI96" s="5">
        <v>0</v>
      </c>
      <c r="AJ96" s="3">
        <v>696</v>
      </c>
      <c r="AK96" s="5">
        <v>0.58333333333333337</v>
      </c>
      <c r="AL96" s="5">
        <v>0.4</v>
      </c>
      <c r="AM96" s="5">
        <v>1.458332</v>
      </c>
      <c r="AN96" s="3">
        <v>258</v>
      </c>
      <c r="AO96">
        <v>1</v>
      </c>
      <c r="AP96">
        <v>2</v>
      </c>
      <c r="AQ96" s="5">
        <v>0.5</v>
      </c>
      <c r="AR96" s="5">
        <v>0.8</v>
      </c>
      <c r="AS96" s="5">
        <v>0.625</v>
      </c>
      <c r="AT96" s="5">
        <v>741</v>
      </c>
    </row>
    <row r="97" spans="1:46" hidden="1">
      <c r="A97" t="str">
        <f>_xlfn.XLOOKUP(Table13[[#This Row],[SAP]],'Location List'!B:B,'Location List'!G:G)</f>
        <v>WEST TEXAS</v>
      </c>
      <c r="B97" t="str">
        <f>LEFT(Table13[[#This Row],[Sap: Loaction]],4)</f>
        <v>705D</v>
      </c>
      <c r="C97" s="4" t="str">
        <f>_xlfn.XLOOKUP(Table13[[#This Row],[Employee]],'Location List'!M:M,'Location List'!N:N,"",0)</f>
        <v/>
      </c>
      <c r="D97" t="s">
        <v>973</v>
      </c>
      <c r="E97" t="s">
        <v>795</v>
      </c>
      <c r="F97" t="s">
        <v>518</v>
      </c>
      <c r="G97" s="3">
        <v>2</v>
      </c>
      <c r="H97" s="3">
        <v>427</v>
      </c>
      <c r="I97">
        <v>475.65</v>
      </c>
      <c r="J97" t="s">
        <v>454</v>
      </c>
      <c r="K97" s="6">
        <v>19.010000000000002</v>
      </c>
      <c r="L97" s="6">
        <v>40</v>
      </c>
      <c r="M97" s="5">
        <v>0.47525000000000001</v>
      </c>
      <c r="N97" s="3">
        <v>875</v>
      </c>
      <c r="O97" s="10">
        <v>6</v>
      </c>
      <c r="P97" s="10">
        <v>76</v>
      </c>
      <c r="Q97" s="5">
        <v>7.8947368421052627E-2</v>
      </c>
      <c r="R97" s="5">
        <v>0.19</v>
      </c>
      <c r="S97" s="5">
        <v>0.41550999999999999</v>
      </c>
      <c r="T97" s="3">
        <v>1108</v>
      </c>
      <c r="U97" s="10">
        <v>6</v>
      </c>
      <c r="V97" s="10">
        <v>76</v>
      </c>
      <c r="W97" s="5">
        <v>7.8947368421052627E-2</v>
      </c>
      <c r="X97" s="5">
        <v>0.05</v>
      </c>
      <c r="Y97" s="5">
        <v>1.57894</v>
      </c>
      <c r="Z97" s="3">
        <v>61</v>
      </c>
      <c r="AA97" s="11">
        <v>2.1</v>
      </c>
      <c r="AB97" s="3">
        <v>207</v>
      </c>
      <c r="AC97">
        <v>10</v>
      </c>
      <c r="AD97" s="3">
        <v>1</v>
      </c>
      <c r="AE97">
        <v>1</v>
      </c>
      <c r="AF97">
        <v>14</v>
      </c>
      <c r="AG97" s="5">
        <v>7.1428571428571425E-2</v>
      </c>
      <c r="AH97" s="5">
        <v>0.1</v>
      </c>
      <c r="AI97" s="5">
        <v>0.71428000000000003</v>
      </c>
      <c r="AJ97" s="3">
        <v>574</v>
      </c>
      <c r="AK97" s="5">
        <v>0.91666666666666663</v>
      </c>
      <c r="AL97" s="5">
        <v>0.4</v>
      </c>
      <c r="AM97" s="5">
        <v>2.2916650000000001</v>
      </c>
      <c r="AN97" s="3">
        <v>97</v>
      </c>
      <c r="AO97">
        <v>1</v>
      </c>
      <c r="AP97">
        <v>1</v>
      </c>
      <c r="AQ97" s="5">
        <v>1</v>
      </c>
      <c r="AR97" s="5">
        <v>0.8</v>
      </c>
      <c r="AS97" s="5">
        <v>1.25</v>
      </c>
      <c r="AT97" s="5">
        <v>1</v>
      </c>
    </row>
    <row r="98" spans="1:46" hidden="1">
      <c r="A98" t="str">
        <f>_xlfn.XLOOKUP(Table13[[#This Row],[SAP]],'Location List'!B:B,'Location List'!G:G)</f>
        <v>WEST TEXAS</v>
      </c>
      <c r="B98" t="str">
        <f>LEFT(Table13[[#This Row],[Sap: Loaction]],4)</f>
        <v>1FSX</v>
      </c>
      <c r="C98" s="4" t="str">
        <f>_xlfn.XLOOKUP(Table13[[#This Row],[Employee]],'Location List'!M:M,'Location List'!N:N,"",0)</f>
        <v/>
      </c>
      <c r="D98" t="s">
        <v>973</v>
      </c>
      <c r="E98" t="s">
        <v>983</v>
      </c>
      <c r="F98" t="s">
        <v>517</v>
      </c>
      <c r="G98" s="3">
        <v>2</v>
      </c>
      <c r="H98" s="3">
        <v>428</v>
      </c>
      <c r="I98">
        <v>475.8</v>
      </c>
      <c r="J98" t="s">
        <v>454</v>
      </c>
      <c r="K98" s="6">
        <v>46.73</v>
      </c>
      <c r="L98" s="6">
        <v>29.999999999999996</v>
      </c>
      <c r="M98" s="5">
        <v>1.5576666666666668</v>
      </c>
      <c r="N98" s="3">
        <v>210</v>
      </c>
      <c r="O98" s="10">
        <v>7</v>
      </c>
      <c r="P98" s="10">
        <v>27</v>
      </c>
      <c r="Q98" s="5">
        <v>0.25925925925925924</v>
      </c>
      <c r="R98" s="5">
        <v>0.19</v>
      </c>
      <c r="S98" s="5">
        <v>1.3645210000000001</v>
      </c>
      <c r="T98" s="3">
        <v>252</v>
      </c>
      <c r="U98" s="10">
        <v>1</v>
      </c>
      <c r="V98" s="10">
        <v>27</v>
      </c>
      <c r="W98" s="5">
        <v>3.7037037037037035E-2</v>
      </c>
      <c r="X98" s="5">
        <v>0.05</v>
      </c>
      <c r="Y98" s="5">
        <v>0.74073999999999995</v>
      </c>
      <c r="Z98" s="3">
        <v>359</v>
      </c>
      <c r="AA98" s="11">
        <v>1</v>
      </c>
      <c r="AB98" s="3">
        <v>741</v>
      </c>
      <c r="AC98">
        <v>10</v>
      </c>
      <c r="AD98" s="3">
        <v>1</v>
      </c>
      <c r="AE98">
        <v>0</v>
      </c>
      <c r="AF98">
        <v>1</v>
      </c>
      <c r="AG98" s="5">
        <v>0</v>
      </c>
      <c r="AH98" s="5">
        <v>0.1</v>
      </c>
      <c r="AI98" s="5">
        <v>0</v>
      </c>
      <c r="AJ98" s="3">
        <v>696</v>
      </c>
      <c r="AK98" s="5">
        <v>0</v>
      </c>
      <c r="AL98" s="5">
        <v>0.4</v>
      </c>
      <c r="AM98" s="5">
        <v>0</v>
      </c>
      <c r="AN98" s="3">
        <v>1150</v>
      </c>
      <c r="AO98">
        <v>3</v>
      </c>
      <c r="AP98">
        <v>4</v>
      </c>
      <c r="AQ98" s="5">
        <v>0.75</v>
      </c>
      <c r="AR98" s="5">
        <v>0.8</v>
      </c>
      <c r="AS98" s="5">
        <v>0.9375</v>
      </c>
      <c r="AT98" s="5">
        <v>644</v>
      </c>
    </row>
    <row r="99" spans="1:46" hidden="1">
      <c r="A99" t="str">
        <f>_xlfn.XLOOKUP(Table13[[#This Row],[SAP]],'Location List'!B:B,'Location List'!G:G)</f>
        <v>SOUTH TX/RGV</v>
      </c>
      <c r="B99" t="str">
        <f>LEFT(Table13[[#This Row],[Sap: Loaction]],4)</f>
        <v>216E</v>
      </c>
      <c r="C99" s="4" t="str">
        <f>_xlfn.XLOOKUP(Table13[[#This Row],[Employee]],'Location List'!M:M,'Location List'!N:N,"",0)</f>
        <v>RSM</v>
      </c>
      <c r="D99" t="s">
        <v>973</v>
      </c>
      <c r="E99" t="s">
        <v>855</v>
      </c>
      <c r="F99" t="s">
        <v>560</v>
      </c>
      <c r="G99" s="3">
        <v>2</v>
      </c>
      <c r="H99" s="3">
        <v>429</v>
      </c>
      <c r="I99">
        <v>476.3</v>
      </c>
      <c r="J99" t="s">
        <v>454</v>
      </c>
      <c r="K99" s="6">
        <v>35.409999999999997</v>
      </c>
      <c r="L99" s="6">
        <v>40</v>
      </c>
      <c r="M99" s="5">
        <v>0.88524999999999998</v>
      </c>
      <c r="N99" s="3">
        <v>574</v>
      </c>
      <c r="O99" s="10">
        <v>19</v>
      </c>
      <c r="P99" s="10">
        <v>128</v>
      </c>
      <c r="Q99" s="5">
        <v>0.1484375</v>
      </c>
      <c r="R99" s="5">
        <v>0.19</v>
      </c>
      <c r="S99" s="5">
        <v>0.78124700000000002</v>
      </c>
      <c r="T99" s="3">
        <v>692</v>
      </c>
      <c r="U99" s="10">
        <v>6</v>
      </c>
      <c r="V99" s="10">
        <v>128</v>
      </c>
      <c r="W99" s="5">
        <v>4.6875E-2</v>
      </c>
      <c r="X99" s="5">
        <v>0.05</v>
      </c>
      <c r="Y99" s="5">
        <v>0.9375</v>
      </c>
      <c r="Z99" s="3">
        <v>250</v>
      </c>
      <c r="AA99" s="11">
        <v>0.78947299999999998</v>
      </c>
      <c r="AB99" s="3">
        <v>975</v>
      </c>
      <c r="AC99">
        <v>7.6666660000000002</v>
      </c>
      <c r="AD99" s="3">
        <v>41</v>
      </c>
      <c r="AE99">
        <v>1</v>
      </c>
      <c r="AF99">
        <v>19</v>
      </c>
      <c r="AG99" s="5">
        <v>5.2631578947368418E-2</v>
      </c>
      <c r="AH99" s="5">
        <v>0.1</v>
      </c>
      <c r="AI99" s="5">
        <v>0.52630999999999994</v>
      </c>
      <c r="AJ99" s="3">
        <v>630</v>
      </c>
      <c r="AK99" s="5">
        <v>0.54166666666666663</v>
      </c>
      <c r="AL99" s="5">
        <v>0.4</v>
      </c>
      <c r="AM99" s="5">
        <v>1.3541650000000001</v>
      </c>
      <c r="AN99" s="3">
        <v>306</v>
      </c>
      <c r="AO99">
        <v>4</v>
      </c>
      <c r="AP99">
        <v>4</v>
      </c>
      <c r="AQ99" s="5">
        <v>1</v>
      </c>
      <c r="AR99" s="5">
        <v>0.8</v>
      </c>
      <c r="AS99" s="5">
        <v>1.25</v>
      </c>
      <c r="AT99" s="5">
        <v>1</v>
      </c>
    </row>
    <row r="100" spans="1:46" hidden="1">
      <c r="A100" t="str">
        <f>_xlfn.XLOOKUP(Table13[[#This Row],[SAP]],'Location List'!B:B,'Location List'!G:G)</f>
        <v>CENTRAL TEXAS</v>
      </c>
      <c r="B100" t="str">
        <f>LEFT(Table13[[#This Row],[Sap: Loaction]],4)</f>
        <v>1FSH</v>
      </c>
      <c r="C100" s="4" t="str">
        <f>_xlfn.XLOOKUP(Table13[[#This Row],[Employee]],'Location List'!M:M,'Location List'!N:N,"",0)</f>
        <v/>
      </c>
      <c r="D100" t="s">
        <v>973</v>
      </c>
      <c r="E100" t="s">
        <v>620</v>
      </c>
      <c r="F100" t="s">
        <v>508</v>
      </c>
      <c r="G100" s="3">
        <v>2</v>
      </c>
      <c r="H100" s="3">
        <v>430</v>
      </c>
      <c r="I100">
        <v>477.2</v>
      </c>
      <c r="J100" t="s">
        <v>454</v>
      </c>
      <c r="K100" s="6">
        <v>46.81</v>
      </c>
      <c r="L100" s="6">
        <v>40</v>
      </c>
      <c r="M100" s="5">
        <v>1.17025</v>
      </c>
      <c r="N100" s="3">
        <v>389</v>
      </c>
      <c r="O100" s="10">
        <v>12</v>
      </c>
      <c r="P100" s="10">
        <v>75</v>
      </c>
      <c r="Q100" s="5">
        <v>0.16</v>
      </c>
      <c r="R100" s="5">
        <v>0.19</v>
      </c>
      <c r="S100" s="5">
        <v>0.84210499999999999</v>
      </c>
      <c r="T100" s="3">
        <v>640</v>
      </c>
      <c r="U100" s="10">
        <v>3</v>
      </c>
      <c r="V100" s="10">
        <v>75</v>
      </c>
      <c r="W100" s="5">
        <v>0.04</v>
      </c>
      <c r="X100" s="5">
        <v>0.05</v>
      </c>
      <c r="Y100" s="5">
        <v>0.8</v>
      </c>
      <c r="Z100" s="3">
        <v>324</v>
      </c>
      <c r="AA100" s="11">
        <v>0.45454499999999998</v>
      </c>
      <c r="AB100" s="3">
        <v>1227</v>
      </c>
      <c r="AC100">
        <v>9</v>
      </c>
      <c r="AD100" s="3">
        <v>22</v>
      </c>
      <c r="AE100">
        <v>6</v>
      </c>
      <c r="AF100">
        <v>21</v>
      </c>
      <c r="AG100" s="5">
        <v>0.2857142857142857</v>
      </c>
      <c r="AH100" s="5">
        <v>0.1</v>
      </c>
      <c r="AI100" s="5">
        <v>2.8571399999999998</v>
      </c>
      <c r="AJ100" s="3">
        <v>161</v>
      </c>
      <c r="AK100" s="5">
        <v>6.6666599999999993E-2</v>
      </c>
      <c r="AL100" s="5">
        <v>0.4</v>
      </c>
      <c r="AM100" s="5">
        <v>0.20833199999999999</v>
      </c>
      <c r="AN100" s="3">
        <v>1093</v>
      </c>
      <c r="AO100">
        <v>5</v>
      </c>
      <c r="AP100">
        <v>5</v>
      </c>
      <c r="AQ100" s="5">
        <v>1</v>
      </c>
      <c r="AR100" s="5">
        <v>0.8</v>
      </c>
      <c r="AS100" s="5">
        <v>1.25</v>
      </c>
      <c r="AT100" s="5">
        <v>1</v>
      </c>
    </row>
    <row r="101" spans="1:46" hidden="1">
      <c r="A101" t="str">
        <f>_xlfn.XLOOKUP(Table13[[#This Row],[SAP]],'Location List'!B:B,'Location List'!G:G)</f>
        <v>DFW EAST</v>
      </c>
      <c r="B101" t="str">
        <f>LEFT(Table13[[#This Row],[Sap: Loaction]],4)</f>
        <v>2536</v>
      </c>
      <c r="C101" s="4" t="str">
        <f>_xlfn.XLOOKUP(Table13[[#This Row],[Employee]],'Location List'!M:M,'Location List'!N:N,"",0)</f>
        <v/>
      </c>
      <c r="D101" t="s">
        <v>973</v>
      </c>
      <c r="E101" t="s">
        <v>837</v>
      </c>
      <c r="F101" t="s">
        <v>532</v>
      </c>
      <c r="G101" s="3">
        <v>2</v>
      </c>
      <c r="H101" s="3">
        <v>433</v>
      </c>
      <c r="I101">
        <v>478.5</v>
      </c>
      <c r="J101" t="s">
        <v>454</v>
      </c>
      <c r="K101" s="6">
        <v>9.33</v>
      </c>
      <c r="L101" s="6">
        <v>40</v>
      </c>
      <c r="M101" s="5">
        <v>0.23325000000000001</v>
      </c>
      <c r="N101" s="3">
        <v>1040</v>
      </c>
      <c r="O101" s="10">
        <v>24</v>
      </c>
      <c r="P101" s="10">
        <v>98</v>
      </c>
      <c r="Q101" s="5">
        <v>0.24489795918367346</v>
      </c>
      <c r="R101" s="5">
        <v>0.19</v>
      </c>
      <c r="S101" s="5">
        <v>1.288931</v>
      </c>
      <c r="T101" s="3">
        <v>293</v>
      </c>
      <c r="U101" s="10">
        <v>2</v>
      </c>
      <c r="V101" s="10">
        <v>98</v>
      </c>
      <c r="W101" s="5">
        <v>2.0408163265306121E-2</v>
      </c>
      <c r="X101" s="5">
        <v>0.05</v>
      </c>
      <c r="Y101" s="5">
        <v>0.40816000000000002</v>
      </c>
      <c r="Z101" s="3">
        <v>647</v>
      </c>
      <c r="AA101" s="11">
        <v>3.5</v>
      </c>
      <c r="AB101" s="3">
        <v>52</v>
      </c>
      <c r="AC101">
        <v>10</v>
      </c>
      <c r="AD101" s="3">
        <v>1</v>
      </c>
      <c r="AE101">
        <v>0</v>
      </c>
      <c r="AF101">
        <v>11</v>
      </c>
      <c r="AG101" s="5">
        <v>0</v>
      </c>
      <c r="AH101" s="5">
        <v>0.1</v>
      </c>
      <c r="AI101" s="5">
        <v>0</v>
      </c>
      <c r="AJ101" s="3">
        <v>696</v>
      </c>
      <c r="AK101" s="5">
        <v>0.222222</v>
      </c>
      <c r="AL101" s="5">
        <v>0.4</v>
      </c>
      <c r="AM101" s="5">
        <v>0.55555500000000002</v>
      </c>
      <c r="AN101" s="3">
        <v>894</v>
      </c>
      <c r="AO101">
        <v>4</v>
      </c>
      <c r="AP101">
        <v>4</v>
      </c>
      <c r="AQ101" s="5">
        <v>1</v>
      </c>
      <c r="AR101" s="5">
        <v>0.8</v>
      </c>
      <c r="AS101" s="5">
        <v>1.25</v>
      </c>
      <c r="AT101" s="5">
        <v>1</v>
      </c>
    </row>
    <row r="102" spans="1:46" hidden="1">
      <c r="A102" t="str">
        <f>_xlfn.XLOOKUP(Table13[[#This Row],[SAP]],'Location List'!B:B,'Location List'!G:G)</f>
        <v>SA SOUTH</v>
      </c>
      <c r="B102" t="str">
        <f>LEFT(Table13[[#This Row],[Sap: Loaction]],4)</f>
        <v>584D</v>
      </c>
      <c r="C102" s="4" t="str">
        <f>_xlfn.XLOOKUP(Table13[[#This Row],[Employee]],'Location List'!M:M,'Location List'!N:N,"",0)</f>
        <v/>
      </c>
      <c r="D102" t="s">
        <v>973</v>
      </c>
      <c r="E102" t="s">
        <v>700</v>
      </c>
      <c r="F102" t="s">
        <v>579</v>
      </c>
      <c r="G102" s="3">
        <v>2</v>
      </c>
      <c r="H102" s="3">
        <v>436</v>
      </c>
      <c r="I102">
        <v>479.25</v>
      </c>
      <c r="J102" t="s">
        <v>454</v>
      </c>
      <c r="K102" s="6">
        <v>38.950000000000003</v>
      </c>
      <c r="L102" s="6">
        <v>35.000000000000007</v>
      </c>
      <c r="M102" s="5">
        <v>1.1128571428571428</v>
      </c>
      <c r="N102" s="3">
        <v>424</v>
      </c>
      <c r="O102" s="10">
        <v>9</v>
      </c>
      <c r="P102" s="10">
        <v>69</v>
      </c>
      <c r="Q102" s="5">
        <v>0.13043478260869565</v>
      </c>
      <c r="R102" s="5">
        <v>0.19</v>
      </c>
      <c r="S102" s="5">
        <v>0.68649400000000005</v>
      </c>
      <c r="T102" s="3">
        <v>798</v>
      </c>
      <c r="U102" s="10">
        <v>1</v>
      </c>
      <c r="V102" s="10">
        <v>69</v>
      </c>
      <c r="W102" s="5">
        <v>1.4492753623188406E-2</v>
      </c>
      <c r="X102" s="5">
        <v>0.05</v>
      </c>
      <c r="Y102" s="5">
        <v>0.28983999999999999</v>
      </c>
      <c r="Z102" s="3">
        <v>816</v>
      </c>
      <c r="AA102" s="11">
        <v>1.2</v>
      </c>
      <c r="AB102" s="3">
        <v>641</v>
      </c>
      <c r="AC102">
        <v>0</v>
      </c>
      <c r="AD102" s="3">
        <v>75</v>
      </c>
      <c r="AE102">
        <v>1</v>
      </c>
      <c r="AF102">
        <v>4</v>
      </c>
      <c r="AG102" s="5">
        <v>0.25</v>
      </c>
      <c r="AH102" s="5">
        <v>0.1</v>
      </c>
      <c r="AI102" s="5">
        <v>2.5</v>
      </c>
      <c r="AJ102" s="3">
        <v>191</v>
      </c>
      <c r="AK102" s="5">
        <v>1</v>
      </c>
      <c r="AL102" s="5">
        <v>0.4</v>
      </c>
      <c r="AM102" s="5">
        <v>2.5</v>
      </c>
      <c r="AN102" s="3">
        <v>1</v>
      </c>
      <c r="AO102">
        <v>1</v>
      </c>
      <c r="AP102">
        <v>2</v>
      </c>
      <c r="AQ102" s="5">
        <v>0.5</v>
      </c>
      <c r="AR102" s="5">
        <v>0.8</v>
      </c>
      <c r="AS102" s="5">
        <v>0.625</v>
      </c>
      <c r="AT102" s="5">
        <v>741</v>
      </c>
    </row>
    <row r="103" spans="1:46" hidden="1">
      <c r="A103" t="str">
        <f>_xlfn.XLOOKUP(Table13[[#This Row],[SAP]],'Location List'!B:B,'Location List'!G:G)</f>
        <v>DFW NORTH</v>
      </c>
      <c r="B103" t="str">
        <f>LEFT(Table13[[#This Row],[Sap: Loaction]],4)</f>
        <v>5761</v>
      </c>
      <c r="C103" s="4" t="str">
        <f>_xlfn.XLOOKUP(Table13[[#This Row],[Employee]],'Location List'!M:M,'Location List'!N:N,"",0)</f>
        <v/>
      </c>
      <c r="D103" t="s">
        <v>973</v>
      </c>
      <c r="E103" t="s">
        <v>768</v>
      </c>
      <c r="F103" t="s">
        <v>553</v>
      </c>
      <c r="G103" s="3">
        <v>2</v>
      </c>
      <c r="H103" s="3">
        <v>441</v>
      </c>
      <c r="I103">
        <v>481</v>
      </c>
      <c r="J103" t="s">
        <v>454</v>
      </c>
      <c r="K103" s="6">
        <v>42.8</v>
      </c>
      <c r="L103" s="6">
        <v>29.999999999999996</v>
      </c>
      <c r="M103" s="5">
        <v>1.4266666666666667</v>
      </c>
      <c r="N103" s="3">
        <v>263</v>
      </c>
      <c r="O103" s="10">
        <v>6</v>
      </c>
      <c r="P103" s="10">
        <v>60</v>
      </c>
      <c r="Q103" s="5">
        <v>0.1</v>
      </c>
      <c r="R103" s="5">
        <v>0.19</v>
      </c>
      <c r="S103" s="5">
        <v>0.52631499999999998</v>
      </c>
      <c r="T103" s="3">
        <v>986</v>
      </c>
      <c r="U103" s="10">
        <v>0</v>
      </c>
      <c r="V103" s="10">
        <v>60</v>
      </c>
      <c r="W103" s="5">
        <v>0</v>
      </c>
      <c r="X103" s="5">
        <v>0.05</v>
      </c>
      <c r="Y103" s="5">
        <v>0</v>
      </c>
      <c r="Z103" s="3">
        <v>994</v>
      </c>
      <c r="AA103" s="11">
        <v>1.4</v>
      </c>
      <c r="AB103" s="3">
        <v>509</v>
      </c>
      <c r="AC103">
        <v>10</v>
      </c>
      <c r="AD103" s="3">
        <v>1</v>
      </c>
      <c r="AE103">
        <v>1</v>
      </c>
      <c r="AF103">
        <v>12</v>
      </c>
      <c r="AG103" s="5">
        <v>8.3333333333333329E-2</v>
      </c>
      <c r="AH103" s="5">
        <v>0.1</v>
      </c>
      <c r="AI103" s="5">
        <v>0.83333000000000002</v>
      </c>
      <c r="AJ103" s="3">
        <v>535</v>
      </c>
      <c r="AK103" s="5">
        <v>0.75</v>
      </c>
      <c r="AL103" s="5">
        <v>0.4</v>
      </c>
      <c r="AM103" s="5">
        <v>1.875</v>
      </c>
      <c r="AN103" s="3">
        <v>136</v>
      </c>
      <c r="AO103">
        <v>1</v>
      </c>
      <c r="AP103">
        <v>1</v>
      </c>
      <c r="AQ103" s="5">
        <v>1</v>
      </c>
      <c r="AR103" s="5">
        <v>0.8</v>
      </c>
      <c r="AS103" s="5">
        <v>1.25</v>
      </c>
      <c r="AT103" s="5">
        <v>1</v>
      </c>
    </row>
    <row r="104" spans="1:46" hidden="1">
      <c r="A104" t="str">
        <f>_xlfn.XLOOKUP(Table13[[#This Row],[SAP]],'Location List'!B:B,'Location List'!G:G)</f>
        <v>SA SOUTH</v>
      </c>
      <c r="B104" t="str">
        <f>LEFT(Table13[[#This Row],[Sap: Loaction]],4)</f>
        <v>4723</v>
      </c>
      <c r="C104" s="4" t="str">
        <f>_xlfn.XLOOKUP(Table13[[#This Row],[Employee]],'Location List'!M:M,'Location List'!N:N,"",0)</f>
        <v/>
      </c>
      <c r="D104" t="s">
        <v>973</v>
      </c>
      <c r="E104" t="s">
        <v>621</v>
      </c>
      <c r="F104" t="s">
        <v>534</v>
      </c>
      <c r="G104" s="3">
        <v>2</v>
      </c>
      <c r="H104" s="3">
        <v>441</v>
      </c>
      <c r="I104">
        <v>481</v>
      </c>
      <c r="J104" t="s">
        <v>454</v>
      </c>
      <c r="K104" s="6">
        <v>25.77</v>
      </c>
      <c r="L104" s="6">
        <v>40</v>
      </c>
      <c r="M104" s="5">
        <v>0.64424999999999999</v>
      </c>
      <c r="N104" s="3">
        <v>754</v>
      </c>
      <c r="O104" s="10">
        <v>31</v>
      </c>
      <c r="P104" s="10">
        <v>91</v>
      </c>
      <c r="Q104" s="5">
        <v>0.34065934065934067</v>
      </c>
      <c r="R104" s="5">
        <v>0.19</v>
      </c>
      <c r="S104" s="5">
        <v>1.792942</v>
      </c>
      <c r="T104" s="3">
        <v>122</v>
      </c>
      <c r="U104" s="10">
        <v>3</v>
      </c>
      <c r="V104" s="10">
        <v>91</v>
      </c>
      <c r="W104" s="5">
        <v>3.2967032967032968E-2</v>
      </c>
      <c r="X104" s="5">
        <v>0.05</v>
      </c>
      <c r="Y104" s="5">
        <v>0.65934000000000004</v>
      </c>
      <c r="Z104" s="3">
        <v>405</v>
      </c>
      <c r="AA104" s="11">
        <v>1.1000000000000001</v>
      </c>
      <c r="AB104" s="3">
        <v>722</v>
      </c>
      <c r="AC104">
        <v>10</v>
      </c>
      <c r="AD104" s="3">
        <v>1</v>
      </c>
      <c r="AE104">
        <v>0</v>
      </c>
      <c r="AF104">
        <v>17</v>
      </c>
      <c r="AG104" s="5">
        <v>0</v>
      </c>
      <c r="AH104" s="5">
        <v>0.1</v>
      </c>
      <c r="AI104" s="5">
        <v>0</v>
      </c>
      <c r="AJ104" s="3">
        <v>696</v>
      </c>
      <c r="AK104" s="5">
        <v>0.3797976666666667</v>
      </c>
      <c r="AL104" s="5">
        <v>0.4</v>
      </c>
      <c r="AM104" s="5">
        <v>0.949492</v>
      </c>
      <c r="AN104" s="3">
        <v>592</v>
      </c>
      <c r="AO104">
        <v>5</v>
      </c>
      <c r="AP104">
        <v>7</v>
      </c>
      <c r="AQ104" s="5">
        <v>0.7142857142857143</v>
      </c>
      <c r="AR104" s="5">
        <v>0.8</v>
      </c>
      <c r="AS104" s="5">
        <v>0.89285599999999998</v>
      </c>
      <c r="AT104" s="5">
        <v>671</v>
      </c>
    </row>
    <row r="105" spans="1:46" hidden="1">
      <c r="A105" t="str">
        <f>_xlfn.XLOOKUP(Table13[[#This Row],[SAP]],'Location List'!B:B,'Location List'!G:G)</f>
        <v>SA/HILL COUNTRY</v>
      </c>
      <c r="B105" t="str">
        <f>LEFT(Table13[[#This Row],[Sap: Loaction]],4)</f>
        <v>583D</v>
      </c>
      <c r="C105" s="4" t="str">
        <f>_xlfn.XLOOKUP(Table13[[#This Row],[Employee]],'Location List'!M:M,'Location List'!N:N,"",0)</f>
        <v/>
      </c>
      <c r="D105" t="s">
        <v>973</v>
      </c>
      <c r="E105" t="s">
        <v>827</v>
      </c>
      <c r="F105" t="s">
        <v>538</v>
      </c>
      <c r="G105" s="3">
        <v>2</v>
      </c>
      <c r="H105" s="3">
        <v>447</v>
      </c>
      <c r="I105">
        <v>482.35</v>
      </c>
      <c r="J105" t="s">
        <v>454</v>
      </c>
      <c r="K105" s="6">
        <v>37.869999999999997</v>
      </c>
      <c r="L105" s="6">
        <v>40</v>
      </c>
      <c r="M105" s="5">
        <v>0.94674999999999998</v>
      </c>
      <c r="N105" s="3">
        <v>527</v>
      </c>
      <c r="O105" s="10">
        <v>11</v>
      </c>
      <c r="P105" s="10">
        <v>63</v>
      </c>
      <c r="Q105" s="5">
        <v>0.17460317460317459</v>
      </c>
      <c r="R105" s="5">
        <v>0.19</v>
      </c>
      <c r="S105" s="5">
        <v>0.91896299999999997</v>
      </c>
      <c r="T105" s="3">
        <v>566</v>
      </c>
      <c r="U105" s="10">
        <v>3</v>
      </c>
      <c r="V105" s="10">
        <v>63</v>
      </c>
      <c r="W105" s="5">
        <v>4.7619047619047616E-2</v>
      </c>
      <c r="X105" s="5">
        <v>0.05</v>
      </c>
      <c r="Y105" s="5">
        <v>0.95238</v>
      </c>
      <c r="Z105" s="3">
        <v>240</v>
      </c>
      <c r="AA105" s="11">
        <v>1.8571420000000001</v>
      </c>
      <c r="AB105" s="3">
        <v>291</v>
      </c>
      <c r="AC105">
        <v>9</v>
      </c>
      <c r="AD105" s="3">
        <v>22</v>
      </c>
      <c r="AE105">
        <v>2</v>
      </c>
      <c r="AF105">
        <v>14</v>
      </c>
      <c r="AG105" s="5">
        <v>0.14285714285714285</v>
      </c>
      <c r="AH105" s="5">
        <v>0.1</v>
      </c>
      <c r="AI105" s="5">
        <v>1.4285699999999999</v>
      </c>
      <c r="AJ105" s="3">
        <v>368</v>
      </c>
      <c r="AK105" s="5">
        <v>0.222222</v>
      </c>
      <c r="AL105" s="5">
        <v>0.4</v>
      </c>
      <c r="AM105" s="5">
        <v>0.55555500000000002</v>
      </c>
      <c r="AN105" s="3">
        <v>894</v>
      </c>
      <c r="AO105">
        <v>0</v>
      </c>
      <c r="AP105">
        <v>0</v>
      </c>
      <c r="AQ105" s="5" t="s">
        <v>653</v>
      </c>
      <c r="AR105" s="5">
        <v>0.8</v>
      </c>
      <c r="AS105" s="5">
        <v>0</v>
      </c>
      <c r="AT105" s="5">
        <v>902</v>
      </c>
    </row>
    <row r="106" spans="1:46" hidden="1">
      <c r="A106" t="str">
        <f>_xlfn.XLOOKUP(Table13[[#This Row],[SAP]],'Location List'!B:B,'Location List'!G:G)</f>
        <v>KS/OK</v>
      </c>
      <c r="B106" t="str">
        <f>LEFT(Table13[[#This Row],[Sap: Loaction]],4)</f>
        <v>966D</v>
      </c>
      <c r="C106" s="4" t="str">
        <f>_xlfn.XLOOKUP(Table13[[#This Row],[Employee]],'Location List'!M:M,'Location List'!N:N,"",0)</f>
        <v/>
      </c>
      <c r="D106" t="s">
        <v>973</v>
      </c>
      <c r="E106" t="s">
        <v>869</v>
      </c>
      <c r="F106" t="s">
        <v>499</v>
      </c>
      <c r="G106" s="3">
        <v>2</v>
      </c>
      <c r="H106" s="3">
        <v>449</v>
      </c>
      <c r="I106">
        <v>482.95</v>
      </c>
      <c r="J106" t="s">
        <v>454</v>
      </c>
      <c r="K106" s="6">
        <v>21.14</v>
      </c>
      <c r="L106" s="6">
        <v>40</v>
      </c>
      <c r="M106" s="5">
        <v>0.52849999999999997</v>
      </c>
      <c r="N106" s="3">
        <v>835</v>
      </c>
      <c r="O106" s="10">
        <v>9</v>
      </c>
      <c r="P106" s="10">
        <v>57</v>
      </c>
      <c r="Q106" s="5">
        <v>0.15789473684210525</v>
      </c>
      <c r="R106" s="5">
        <v>0.19</v>
      </c>
      <c r="S106" s="5">
        <v>0.83102100000000001</v>
      </c>
      <c r="T106" s="3">
        <v>651</v>
      </c>
      <c r="U106" s="10">
        <v>1</v>
      </c>
      <c r="V106" s="10">
        <v>57</v>
      </c>
      <c r="W106" s="5">
        <v>1.7543859649122806E-2</v>
      </c>
      <c r="X106" s="5">
        <v>0.05</v>
      </c>
      <c r="Y106" s="5">
        <v>0.35086000000000001</v>
      </c>
      <c r="Z106" s="3">
        <v>726</v>
      </c>
      <c r="AA106" s="11">
        <v>2.25</v>
      </c>
      <c r="AB106" s="3">
        <v>177</v>
      </c>
      <c r="AC106">
        <v>10</v>
      </c>
      <c r="AD106" s="3">
        <v>1</v>
      </c>
      <c r="AE106">
        <v>0</v>
      </c>
      <c r="AF106">
        <v>6</v>
      </c>
      <c r="AG106" s="5">
        <v>0</v>
      </c>
      <c r="AH106" s="5">
        <v>0.1</v>
      </c>
      <c r="AI106" s="5">
        <v>0</v>
      </c>
      <c r="AJ106" s="3">
        <v>696</v>
      </c>
      <c r="AK106" s="5">
        <v>0.5</v>
      </c>
      <c r="AL106" s="5">
        <v>0.4</v>
      </c>
      <c r="AM106" s="5">
        <v>1.25</v>
      </c>
      <c r="AN106" s="3">
        <v>326</v>
      </c>
      <c r="AO106">
        <v>1</v>
      </c>
      <c r="AP106">
        <v>1</v>
      </c>
      <c r="AQ106" s="5">
        <v>1</v>
      </c>
      <c r="AR106" s="5">
        <v>0.8</v>
      </c>
      <c r="AS106" s="5">
        <v>1.25</v>
      </c>
      <c r="AT106" s="5">
        <v>1</v>
      </c>
    </row>
    <row r="107" spans="1:46" hidden="1">
      <c r="A107" t="str">
        <f>_xlfn.XLOOKUP(Table13[[#This Row],[SAP]],'Location List'!B:B,'Location List'!G:G)</f>
        <v>DFW EAST</v>
      </c>
      <c r="B107" t="str">
        <f>LEFT(Table13[[#This Row],[Sap: Loaction]],4)</f>
        <v>2819</v>
      </c>
      <c r="C107" s="4" t="str">
        <f>_xlfn.XLOOKUP(Table13[[#This Row],[Employee]],'Location List'!M:M,'Location List'!N:N,"",0)</f>
        <v/>
      </c>
      <c r="D107" t="s">
        <v>973</v>
      </c>
      <c r="E107" t="s">
        <v>774</v>
      </c>
      <c r="F107" t="s">
        <v>554</v>
      </c>
      <c r="G107" s="3">
        <v>2</v>
      </c>
      <c r="H107" s="3">
        <v>451</v>
      </c>
      <c r="I107">
        <v>483.2</v>
      </c>
      <c r="J107" t="s">
        <v>454</v>
      </c>
      <c r="K107" s="6">
        <v>38.97</v>
      </c>
      <c r="L107" s="6">
        <v>40</v>
      </c>
      <c r="M107" s="5">
        <v>0.97424999999999995</v>
      </c>
      <c r="N107" s="3">
        <v>510</v>
      </c>
      <c r="O107" s="10">
        <v>33</v>
      </c>
      <c r="P107" s="10">
        <v>92</v>
      </c>
      <c r="Q107" s="5">
        <v>0.35869565217391303</v>
      </c>
      <c r="R107" s="5">
        <v>0.19</v>
      </c>
      <c r="S107" s="5">
        <v>1.8878680000000001</v>
      </c>
      <c r="T107" s="3">
        <v>103</v>
      </c>
      <c r="U107" s="10">
        <v>2</v>
      </c>
      <c r="V107" s="10">
        <v>92</v>
      </c>
      <c r="W107" s="5">
        <v>2.1739130434782608E-2</v>
      </c>
      <c r="X107" s="5">
        <v>0.05</v>
      </c>
      <c r="Y107" s="5">
        <v>0.43478</v>
      </c>
      <c r="Z107" s="3">
        <v>610</v>
      </c>
      <c r="AA107" s="11">
        <v>0.66666599999999998</v>
      </c>
      <c r="AB107" s="3">
        <v>1060</v>
      </c>
      <c r="AC107">
        <v>5</v>
      </c>
      <c r="AD107" s="3">
        <v>62</v>
      </c>
      <c r="AE107">
        <v>0</v>
      </c>
      <c r="AF107">
        <v>7</v>
      </c>
      <c r="AG107" s="5">
        <v>0</v>
      </c>
      <c r="AH107" s="5">
        <v>0.1</v>
      </c>
      <c r="AI107" s="5">
        <v>0</v>
      </c>
      <c r="AJ107" s="3">
        <v>696</v>
      </c>
      <c r="AK107" s="5">
        <v>0.625</v>
      </c>
      <c r="AL107" s="5">
        <v>0.4</v>
      </c>
      <c r="AM107" s="5">
        <v>1.5625</v>
      </c>
      <c r="AN107" s="3">
        <v>222</v>
      </c>
      <c r="AO107">
        <v>2</v>
      </c>
      <c r="AP107">
        <v>7</v>
      </c>
      <c r="AQ107" s="5">
        <v>0.2857142857142857</v>
      </c>
      <c r="AR107" s="5">
        <v>0.8</v>
      </c>
      <c r="AS107" s="5">
        <v>0.35714200000000002</v>
      </c>
      <c r="AT107" s="5">
        <v>863</v>
      </c>
    </row>
    <row r="108" spans="1:46" hidden="1">
      <c r="A108" t="str">
        <f>_xlfn.XLOOKUP(Table13[[#This Row],[SAP]],'Location List'!B:B,'Location List'!G:G)</f>
        <v>SOUTH TX/RGV</v>
      </c>
      <c r="B108" t="str">
        <f>LEFT(Table13[[#This Row],[Sap: Loaction]],4)</f>
        <v>216E</v>
      </c>
      <c r="C108" s="4" t="str">
        <f>_xlfn.XLOOKUP(Table13[[#This Row],[Employee]],'Location List'!M:M,'Location List'!N:N,"",0)</f>
        <v/>
      </c>
      <c r="D108" t="s">
        <v>973</v>
      </c>
      <c r="E108" t="s">
        <v>781</v>
      </c>
      <c r="F108" t="s">
        <v>560</v>
      </c>
      <c r="G108" s="3">
        <v>2</v>
      </c>
      <c r="H108" s="3">
        <v>452</v>
      </c>
      <c r="I108">
        <v>483.25</v>
      </c>
      <c r="J108" t="s">
        <v>454</v>
      </c>
      <c r="K108" s="6">
        <v>45.51</v>
      </c>
      <c r="L108" s="6">
        <v>40</v>
      </c>
      <c r="M108" s="5">
        <v>1.13775</v>
      </c>
      <c r="N108" s="3">
        <v>410</v>
      </c>
      <c r="O108" s="10">
        <v>24</v>
      </c>
      <c r="P108" s="10">
        <v>117</v>
      </c>
      <c r="Q108" s="5">
        <v>0.20512820512820512</v>
      </c>
      <c r="R108" s="5">
        <v>0.19</v>
      </c>
      <c r="S108" s="5">
        <v>1.0796209999999999</v>
      </c>
      <c r="T108" s="3">
        <v>440</v>
      </c>
      <c r="U108" s="10">
        <v>6</v>
      </c>
      <c r="V108" s="10">
        <v>117</v>
      </c>
      <c r="W108" s="5">
        <v>5.128205128205128E-2</v>
      </c>
      <c r="X108" s="5">
        <v>0.05</v>
      </c>
      <c r="Y108" s="5">
        <v>1.0256400000000001</v>
      </c>
      <c r="Z108" s="3">
        <v>203</v>
      </c>
      <c r="AA108" s="11">
        <v>1.071428</v>
      </c>
      <c r="AB108" s="3">
        <v>737</v>
      </c>
      <c r="AC108">
        <v>8.5</v>
      </c>
      <c r="AD108" s="3">
        <v>29</v>
      </c>
      <c r="AE108">
        <v>2</v>
      </c>
      <c r="AF108">
        <v>22</v>
      </c>
      <c r="AG108" s="5">
        <v>9.0909090909090912E-2</v>
      </c>
      <c r="AH108" s="5">
        <v>0.1</v>
      </c>
      <c r="AI108" s="5">
        <v>0.90908999999999995</v>
      </c>
      <c r="AJ108" s="3">
        <v>515</v>
      </c>
      <c r="AK108" s="5">
        <v>0.28888866666666668</v>
      </c>
      <c r="AL108" s="5">
        <v>0.4</v>
      </c>
      <c r="AM108" s="5">
        <v>0.72221999999999997</v>
      </c>
      <c r="AN108" s="3">
        <v>780</v>
      </c>
      <c r="AO108">
        <v>2</v>
      </c>
      <c r="AP108">
        <v>5</v>
      </c>
      <c r="AQ108" s="5">
        <v>0.4</v>
      </c>
      <c r="AR108" s="5">
        <v>0.8</v>
      </c>
      <c r="AS108" s="5">
        <v>0.5</v>
      </c>
      <c r="AT108" s="5">
        <v>816</v>
      </c>
    </row>
    <row r="109" spans="1:46" hidden="1">
      <c r="A109" t="str">
        <f>_xlfn.XLOOKUP(Table13[[#This Row],[SAP]],'Location List'!B:B,'Location List'!G:G)</f>
        <v>CENTRAL TEXAS</v>
      </c>
      <c r="B109" t="str">
        <f>LEFT(Table13[[#This Row],[Sap: Loaction]],4)</f>
        <v>1DSD</v>
      </c>
      <c r="C109" s="4" t="str">
        <f>_xlfn.XLOOKUP(Table13[[#This Row],[Employee]],'Location List'!M:M,'Location List'!N:N,"",0)</f>
        <v>RSM</v>
      </c>
      <c r="D109" t="s">
        <v>973</v>
      </c>
      <c r="E109" t="s">
        <v>875</v>
      </c>
      <c r="F109" t="s">
        <v>567</v>
      </c>
      <c r="G109" s="3">
        <v>2</v>
      </c>
      <c r="H109" s="3">
        <v>457</v>
      </c>
      <c r="I109">
        <v>483.95</v>
      </c>
      <c r="J109" t="s">
        <v>454</v>
      </c>
      <c r="K109" s="6">
        <v>22.16</v>
      </c>
      <c r="L109" s="6">
        <v>35</v>
      </c>
      <c r="M109" s="5">
        <v>0.63314285714285712</v>
      </c>
      <c r="N109" s="3">
        <v>767</v>
      </c>
      <c r="O109" s="10">
        <v>7</v>
      </c>
      <c r="P109" s="10">
        <v>59</v>
      </c>
      <c r="Q109" s="5">
        <v>0.11864406779661017</v>
      </c>
      <c r="R109" s="5">
        <v>0.19</v>
      </c>
      <c r="S109" s="5">
        <v>0.62444200000000005</v>
      </c>
      <c r="T109" s="3">
        <v>869</v>
      </c>
      <c r="U109" s="10">
        <v>4</v>
      </c>
      <c r="V109" s="10">
        <v>59</v>
      </c>
      <c r="W109" s="5">
        <v>6.7796610169491525E-2</v>
      </c>
      <c r="X109" s="5">
        <v>0.05</v>
      </c>
      <c r="Y109" s="5">
        <v>1.35592</v>
      </c>
      <c r="Z109" s="3">
        <v>98</v>
      </c>
      <c r="AA109" s="11">
        <v>1.571428</v>
      </c>
      <c r="AB109" s="3">
        <v>407</v>
      </c>
      <c r="AC109">
        <v>0</v>
      </c>
      <c r="AD109" s="3">
        <v>75</v>
      </c>
      <c r="AE109">
        <v>0</v>
      </c>
      <c r="AF109">
        <v>6</v>
      </c>
      <c r="AG109" s="5">
        <v>0</v>
      </c>
      <c r="AH109" s="5">
        <v>0.1</v>
      </c>
      <c r="AI109" s="5">
        <v>0</v>
      </c>
      <c r="AJ109" s="3">
        <v>696</v>
      </c>
      <c r="AK109" s="5">
        <v>0.5</v>
      </c>
      <c r="AL109" s="5">
        <v>0.4</v>
      </c>
      <c r="AM109" s="5">
        <v>1.25</v>
      </c>
      <c r="AN109" s="3">
        <v>326</v>
      </c>
      <c r="AO109">
        <v>1</v>
      </c>
      <c r="AP109">
        <v>1</v>
      </c>
      <c r="AQ109" s="5">
        <v>1</v>
      </c>
      <c r="AR109" s="5">
        <v>0.8</v>
      </c>
      <c r="AS109" s="5">
        <v>1.25</v>
      </c>
      <c r="AT109" s="5">
        <v>1</v>
      </c>
    </row>
    <row r="110" spans="1:46" hidden="1">
      <c r="A110" t="str">
        <f>_xlfn.XLOOKUP(Table13[[#This Row],[SAP]],'Location List'!B:B,'Location List'!G:G)</f>
        <v>WEST TEXAS</v>
      </c>
      <c r="B110" t="str">
        <f>LEFT(Table13[[#This Row],[Sap: Loaction]],4)</f>
        <v>1FSZ</v>
      </c>
      <c r="C110" s="4" t="str">
        <f>_xlfn.XLOOKUP(Table13[[#This Row],[Employee]],'Location List'!M:M,'Location List'!N:N,"",0)</f>
        <v/>
      </c>
      <c r="D110" t="s">
        <v>973</v>
      </c>
      <c r="E110" t="s">
        <v>992</v>
      </c>
      <c r="F110" t="s">
        <v>533</v>
      </c>
      <c r="G110" s="3">
        <v>2</v>
      </c>
      <c r="H110" s="3">
        <v>463</v>
      </c>
      <c r="I110">
        <v>486.5</v>
      </c>
      <c r="J110" t="s">
        <v>454</v>
      </c>
      <c r="K110" s="6">
        <v>50.24</v>
      </c>
      <c r="L110" s="6">
        <v>40</v>
      </c>
      <c r="M110" s="5">
        <v>1.256</v>
      </c>
      <c r="N110" s="3">
        <v>342</v>
      </c>
      <c r="O110" s="10">
        <v>11</v>
      </c>
      <c r="P110" s="10">
        <v>78</v>
      </c>
      <c r="Q110" s="5">
        <v>0.14102564102564102</v>
      </c>
      <c r="R110" s="5">
        <v>0.19</v>
      </c>
      <c r="S110" s="5">
        <v>0.74223600000000001</v>
      </c>
      <c r="T110" s="3">
        <v>735</v>
      </c>
      <c r="U110" s="10">
        <v>2</v>
      </c>
      <c r="V110" s="10">
        <v>78</v>
      </c>
      <c r="W110" s="5">
        <v>2.564102564102564E-2</v>
      </c>
      <c r="X110" s="5">
        <v>0.05</v>
      </c>
      <c r="Y110" s="5">
        <v>0.51282000000000005</v>
      </c>
      <c r="Z110" s="3">
        <v>522</v>
      </c>
      <c r="AA110" s="11">
        <v>0.5</v>
      </c>
      <c r="AB110" s="3">
        <v>1172</v>
      </c>
      <c r="AC110">
        <v>9</v>
      </c>
      <c r="AD110" s="3">
        <v>22</v>
      </c>
      <c r="AE110">
        <v>0</v>
      </c>
      <c r="AF110">
        <v>11</v>
      </c>
      <c r="AG110" s="5">
        <v>0</v>
      </c>
      <c r="AH110" s="5">
        <v>0.1</v>
      </c>
      <c r="AI110" s="5">
        <v>0</v>
      </c>
      <c r="AJ110" s="3">
        <v>696</v>
      </c>
      <c r="AK110" s="5">
        <v>0.8</v>
      </c>
      <c r="AL110" s="5">
        <v>0.4</v>
      </c>
      <c r="AM110" s="5">
        <v>2</v>
      </c>
      <c r="AN110" s="3">
        <v>121</v>
      </c>
      <c r="AO110">
        <v>2</v>
      </c>
      <c r="AP110">
        <v>2</v>
      </c>
      <c r="AQ110" s="5">
        <v>1</v>
      </c>
      <c r="AR110" s="5">
        <v>0.8</v>
      </c>
      <c r="AS110" s="5">
        <v>1.25</v>
      </c>
      <c r="AT110" s="5">
        <v>1</v>
      </c>
    </row>
    <row r="111" spans="1:46" hidden="1">
      <c r="A111" t="str">
        <f>_xlfn.XLOOKUP(Table13[[#This Row],[SAP]],'Location List'!B:B,'Location List'!G:G)</f>
        <v>SOUTH TX/RGV</v>
      </c>
      <c r="B111" t="str">
        <f>LEFT(Table13[[#This Row],[Sap: Loaction]],4)</f>
        <v>5332</v>
      </c>
      <c r="C111" s="4" t="str">
        <f>_xlfn.XLOOKUP(Table13[[#This Row],[Employee]],'Location List'!M:M,'Location List'!N:N,"",0)</f>
        <v/>
      </c>
      <c r="D111" t="s">
        <v>973</v>
      </c>
      <c r="E111" t="s">
        <v>761</v>
      </c>
      <c r="F111" t="s">
        <v>563</v>
      </c>
      <c r="G111" s="3">
        <v>2</v>
      </c>
      <c r="H111" s="3">
        <v>464</v>
      </c>
      <c r="I111">
        <v>486.75</v>
      </c>
      <c r="J111" t="s">
        <v>454</v>
      </c>
      <c r="K111" s="6">
        <v>49.31</v>
      </c>
      <c r="L111" s="6">
        <v>35</v>
      </c>
      <c r="M111" s="5">
        <v>1.4088571428571428</v>
      </c>
      <c r="N111" s="3">
        <v>269</v>
      </c>
      <c r="O111" s="10">
        <v>42</v>
      </c>
      <c r="P111" s="10">
        <v>133</v>
      </c>
      <c r="Q111" s="5">
        <v>0.31578947368421051</v>
      </c>
      <c r="R111" s="5">
        <v>0.19</v>
      </c>
      <c r="S111" s="5">
        <v>1.6620470000000001</v>
      </c>
      <c r="T111" s="3">
        <v>157</v>
      </c>
      <c r="U111" s="10">
        <v>7</v>
      </c>
      <c r="V111" s="10">
        <v>133</v>
      </c>
      <c r="W111" s="5">
        <v>5.2631578947368418E-2</v>
      </c>
      <c r="X111" s="5">
        <v>0.05</v>
      </c>
      <c r="Y111" s="5">
        <v>1.0526199999999999</v>
      </c>
      <c r="Z111" s="3">
        <v>189</v>
      </c>
      <c r="AA111" s="11">
        <v>0.69565200000000005</v>
      </c>
      <c r="AB111" s="3">
        <v>1050</v>
      </c>
      <c r="AC111">
        <v>10</v>
      </c>
      <c r="AD111" s="3">
        <v>1</v>
      </c>
      <c r="AE111">
        <v>1</v>
      </c>
      <c r="AF111">
        <v>24</v>
      </c>
      <c r="AG111" s="5">
        <v>4.1666666666666664E-2</v>
      </c>
      <c r="AH111" s="5">
        <v>0.1</v>
      </c>
      <c r="AI111" s="5">
        <v>0.41665999999999997</v>
      </c>
      <c r="AJ111" s="3">
        <v>670</v>
      </c>
      <c r="AK111" s="5">
        <v>0.14285699999999998</v>
      </c>
      <c r="AL111" s="5">
        <v>0.4</v>
      </c>
      <c r="AM111" s="5">
        <v>0.35714200000000002</v>
      </c>
      <c r="AN111" s="3">
        <v>1033</v>
      </c>
      <c r="AO111">
        <v>1</v>
      </c>
      <c r="AP111">
        <v>4</v>
      </c>
      <c r="AQ111" s="5">
        <v>0.25</v>
      </c>
      <c r="AR111" s="5">
        <v>0.8</v>
      </c>
      <c r="AS111" s="5">
        <v>0.3125</v>
      </c>
      <c r="AT111" s="5">
        <v>872</v>
      </c>
    </row>
    <row r="112" spans="1:46" hidden="1">
      <c r="A112" t="str">
        <f>_xlfn.XLOOKUP(Table13[[#This Row],[SAP]],'Location List'!B:B,'Location List'!G:G)</f>
        <v>SOUTH TX/RGV</v>
      </c>
      <c r="B112" t="str">
        <f>LEFT(Table13[[#This Row],[Sap: Loaction]],4)</f>
        <v>1953</v>
      </c>
      <c r="C112" s="4" t="str">
        <f>_xlfn.XLOOKUP(Table13[[#This Row],[Employee]],'Location List'!M:M,'Location List'!N:N,"",0)</f>
        <v/>
      </c>
      <c r="D112" t="s">
        <v>973</v>
      </c>
      <c r="E112" t="s">
        <v>931</v>
      </c>
      <c r="F112" t="s">
        <v>564</v>
      </c>
      <c r="G112" s="3">
        <v>2</v>
      </c>
      <c r="H112" s="3">
        <v>468</v>
      </c>
      <c r="I112">
        <v>487.4</v>
      </c>
      <c r="J112" t="s">
        <v>454</v>
      </c>
      <c r="K112" s="6">
        <v>24.47</v>
      </c>
      <c r="L112" s="6">
        <v>35</v>
      </c>
      <c r="M112" s="5">
        <v>0.69914285714285718</v>
      </c>
      <c r="N112" s="3">
        <v>714</v>
      </c>
      <c r="O112" s="10">
        <v>22</v>
      </c>
      <c r="P112" s="10">
        <v>96</v>
      </c>
      <c r="Q112" s="5">
        <v>0.22916666666666666</v>
      </c>
      <c r="R112" s="5">
        <v>0.19</v>
      </c>
      <c r="S112" s="5">
        <v>1.2061360000000001</v>
      </c>
      <c r="T112" s="3">
        <v>354</v>
      </c>
      <c r="U112" s="10">
        <v>0</v>
      </c>
      <c r="V112" s="10">
        <v>96</v>
      </c>
      <c r="W112" s="5">
        <v>0</v>
      </c>
      <c r="X112" s="5">
        <v>0.05</v>
      </c>
      <c r="Y112" s="5">
        <v>0</v>
      </c>
      <c r="Z112" s="3">
        <v>994</v>
      </c>
      <c r="AA112" s="11">
        <v>1.555555</v>
      </c>
      <c r="AB112" s="3">
        <v>415</v>
      </c>
      <c r="AC112">
        <v>0</v>
      </c>
      <c r="AD112" s="3">
        <v>75</v>
      </c>
      <c r="AE112">
        <v>0</v>
      </c>
      <c r="AF112">
        <v>15</v>
      </c>
      <c r="AG112" s="5">
        <v>0</v>
      </c>
      <c r="AH112" s="5">
        <v>0.1</v>
      </c>
      <c r="AI112" s="5">
        <v>0</v>
      </c>
      <c r="AJ112" s="3">
        <v>696</v>
      </c>
      <c r="AK112" s="5">
        <v>0.38888850000000003</v>
      </c>
      <c r="AL112" s="5">
        <v>0.4</v>
      </c>
      <c r="AM112" s="5">
        <v>0.97221999999999997</v>
      </c>
      <c r="AN112" s="3">
        <v>566</v>
      </c>
      <c r="AO112">
        <v>4</v>
      </c>
      <c r="AP112">
        <v>4</v>
      </c>
      <c r="AQ112" s="5">
        <v>1</v>
      </c>
      <c r="AR112" s="5">
        <v>0.8</v>
      </c>
      <c r="AS112" s="5">
        <v>1.25</v>
      </c>
      <c r="AT112" s="5">
        <v>1</v>
      </c>
    </row>
    <row r="113" spans="1:46" hidden="1">
      <c r="A113" t="str">
        <f>_xlfn.XLOOKUP(Table13[[#This Row],[SAP]],'Location List'!B:B,'Location List'!G:G)</f>
        <v>DFW NORTH</v>
      </c>
      <c r="B113" t="str">
        <f>LEFT(Table13[[#This Row],[Sap: Loaction]],4)</f>
        <v>904E</v>
      </c>
      <c r="C113" s="4" t="str">
        <f>_xlfn.XLOOKUP(Table13[[#This Row],[Employee]],'Location List'!M:M,'Location List'!N:N,"",0)</f>
        <v/>
      </c>
      <c r="D113" t="s">
        <v>973</v>
      </c>
      <c r="E113" t="s">
        <v>775</v>
      </c>
      <c r="F113" t="s">
        <v>525</v>
      </c>
      <c r="G113" s="3">
        <v>2</v>
      </c>
      <c r="H113" s="3">
        <v>472</v>
      </c>
      <c r="I113">
        <v>489.25</v>
      </c>
      <c r="J113" t="s">
        <v>454</v>
      </c>
      <c r="K113" s="6">
        <v>49.3</v>
      </c>
      <c r="L113" s="6">
        <v>35</v>
      </c>
      <c r="M113" s="5">
        <v>1.4085714285714286</v>
      </c>
      <c r="N113" s="3">
        <v>270</v>
      </c>
      <c r="O113" s="10">
        <v>10</v>
      </c>
      <c r="P113" s="10">
        <v>61</v>
      </c>
      <c r="Q113" s="5">
        <v>0.16393442622950818</v>
      </c>
      <c r="R113" s="5">
        <v>0.19</v>
      </c>
      <c r="S113" s="5">
        <v>0.86280999999999997</v>
      </c>
      <c r="T113" s="3">
        <v>627</v>
      </c>
      <c r="U113" s="10">
        <v>1</v>
      </c>
      <c r="V113" s="10">
        <v>61</v>
      </c>
      <c r="W113" s="5">
        <v>1.6393442622950821E-2</v>
      </c>
      <c r="X113" s="5">
        <v>0.05</v>
      </c>
      <c r="Y113" s="5">
        <v>0.32785999999999998</v>
      </c>
      <c r="Z113" s="3">
        <v>765</v>
      </c>
      <c r="AA113" s="11">
        <v>1.125</v>
      </c>
      <c r="AB113" s="3">
        <v>696</v>
      </c>
      <c r="AC113">
        <v>10</v>
      </c>
      <c r="AD113" s="3">
        <v>1</v>
      </c>
      <c r="AE113">
        <v>1</v>
      </c>
      <c r="AF113">
        <v>11</v>
      </c>
      <c r="AG113" s="5">
        <v>9.0909090909090912E-2</v>
      </c>
      <c r="AH113" s="5">
        <v>0.1</v>
      </c>
      <c r="AI113" s="5">
        <v>0.90908999999999995</v>
      </c>
      <c r="AJ113" s="3">
        <v>515</v>
      </c>
      <c r="AK113" s="5">
        <v>0.66666599999999998</v>
      </c>
      <c r="AL113" s="5">
        <v>0.4</v>
      </c>
      <c r="AM113" s="5">
        <v>1.6666650000000001</v>
      </c>
      <c r="AN113" s="3">
        <v>169</v>
      </c>
      <c r="AO113">
        <v>1</v>
      </c>
      <c r="AP113">
        <v>3</v>
      </c>
      <c r="AQ113" s="5">
        <v>0.33333333333333331</v>
      </c>
      <c r="AR113" s="5">
        <v>0.8</v>
      </c>
      <c r="AS113" s="5">
        <v>0.41666599999999998</v>
      </c>
      <c r="AT113" s="5">
        <v>830</v>
      </c>
    </row>
    <row r="114" spans="1:46" hidden="1">
      <c r="A114" t="str">
        <f>_xlfn.XLOOKUP(Table13[[#This Row],[SAP]],'Location List'!B:B,'Location List'!G:G)</f>
        <v>WEST TEXAS</v>
      </c>
      <c r="B114" t="str">
        <f>LEFT(Table13[[#This Row],[Sap: Loaction]],4)</f>
        <v>1FSZ</v>
      </c>
      <c r="C114" s="4" t="str">
        <f>_xlfn.XLOOKUP(Table13[[#This Row],[Employee]],'Location List'!M:M,'Location List'!N:N,"",0)</f>
        <v/>
      </c>
      <c r="D114" t="s">
        <v>973</v>
      </c>
      <c r="E114" t="s">
        <v>627</v>
      </c>
      <c r="F114" t="s">
        <v>533</v>
      </c>
      <c r="G114" s="3">
        <v>2</v>
      </c>
      <c r="H114" s="3">
        <v>475</v>
      </c>
      <c r="I114">
        <v>489.6</v>
      </c>
      <c r="J114" t="s">
        <v>454</v>
      </c>
      <c r="K114" s="6">
        <v>71.61</v>
      </c>
      <c r="L114" s="6">
        <v>40</v>
      </c>
      <c r="M114" s="5">
        <v>1.7902499999999999</v>
      </c>
      <c r="N114" s="3">
        <v>136</v>
      </c>
      <c r="O114" s="10">
        <v>25</v>
      </c>
      <c r="P114" s="10">
        <v>60</v>
      </c>
      <c r="Q114" s="5">
        <v>0.41666666666666669</v>
      </c>
      <c r="R114" s="5">
        <v>0.19</v>
      </c>
      <c r="S114" s="5">
        <v>2.1929780000000001</v>
      </c>
      <c r="T114" s="3">
        <v>60</v>
      </c>
      <c r="U114" s="10">
        <v>0</v>
      </c>
      <c r="V114" s="10">
        <v>60</v>
      </c>
      <c r="W114" s="5">
        <v>0</v>
      </c>
      <c r="X114" s="5">
        <v>0.05</v>
      </c>
      <c r="Y114" s="5">
        <v>0</v>
      </c>
      <c r="Z114" s="3">
        <v>994</v>
      </c>
      <c r="AA114" s="11">
        <v>0.28571400000000002</v>
      </c>
      <c r="AB114" s="3">
        <v>1316</v>
      </c>
      <c r="AC114">
        <v>9.5</v>
      </c>
      <c r="AD114" s="3">
        <v>14</v>
      </c>
      <c r="AE114">
        <v>1</v>
      </c>
      <c r="AF114">
        <v>10</v>
      </c>
      <c r="AG114" s="5">
        <v>0.1</v>
      </c>
      <c r="AH114" s="5">
        <v>0.1</v>
      </c>
      <c r="AI114" s="5">
        <v>1</v>
      </c>
      <c r="AJ114" s="3">
        <v>486</v>
      </c>
      <c r="AK114" s="5">
        <v>0.3541665</v>
      </c>
      <c r="AL114" s="5">
        <v>0.4</v>
      </c>
      <c r="AM114" s="5">
        <v>0.88541499999999995</v>
      </c>
      <c r="AN114" s="3">
        <v>621</v>
      </c>
      <c r="AO114">
        <v>1</v>
      </c>
      <c r="AP114">
        <v>8</v>
      </c>
      <c r="AQ114" s="5">
        <v>0.125</v>
      </c>
      <c r="AR114" s="5">
        <v>0.8</v>
      </c>
      <c r="AS114" s="5">
        <v>0.15625</v>
      </c>
      <c r="AT114" s="5">
        <v>898</v>
      </c>
    </row>
    <row r="115" spans="1:46" hidden="1">
      <c r="A115" t="str">
        <f>_xlfn.XLOOKUP(Table13[[#This Row],[SAP]],'Location List'!B:B,'Location List'!G:G)</f>
        <v>DFW NORTH</v>
      </c>
      <c r="B115" t="str">
        <f>LEFT(Table13[[#This Row],[Sap: Loaction]],4)</f>
        <v>1BSE</v>
      </c>
      <c r="C115" s="4" t="str">
        <f>_xlfn.XLOOKUP(Table13[[#This Row],[Employee]],'Location List'!M:M,'Location List'!N:N,"",0)</f>
        <v/>
      </c>
      <c r="D115" t="s">
        <v>973</v>
      </c>
      <c r="E115" t="s">
        <v>711</v>
      </c>
      <c r="F115" t="s">
        <v>545</v>
      </c>
      <c r="G115" s="3">
        <v>2</v>
      </c>
      <c r="H115" s="3">
        <v>483</v>
      </c>
      <c r="I115">
        <v>491.45</v>
      </c>
      <c r="J115" t="s">
        <v>454</v>
      </c>
      <c r="K115" s="6">
        <v>32.799999999999997</v>
      </c>
      <c r="L115" s="6">
        <v>40</v>
      </c>
      <c r="M115" s="5">
        <v>0.82</v>
      </c>
      <c r="N115" s="3">
        <v>627</v>
      </c>
      <c r="O115" s="10">
        <v>10</v>
      </c>
      <c r="P115" s="10">
        <v>75</v>
      </c>
      <c r="Q115" s="5">
        <v>0.13333333333333333</v>
      </c>
      <c r="R115" s="5">
        <v>0.19</v>
      </c>
      <c r="S115" s="5">
        <v>0.70175200000000004</v>
      </c>
      <c r="T115" s="3">
        <v>781</v>
      </c>
      <c r="U115" s="10">
        <v>2</v>
      </c>
      <c r="V115" s="10">
        <v>75</v>
      </c>
      <c r="W115" s="5">
        <v>2.6666666666666668E-2</v>
      </c>
      <c r="X115" s="5">
        <v>0.05</v>
      </c>
      <c r="Y115" s="5">
        <v>0.53332000000000002</v>
      </c>
      <c r="Z115" s="3">
        <v>506</v>
      </c>
      <c r="AA115" s="11">
        <v>1.375</v>
      </c>
      <c r="AB115" s="3">
        <v>534</v>
      </c>
      <c r="AC115">
        <v>10</v>
      </c>
      <c r="AD115" s="3">
        <v>1</v>
      </c>
      <c r="AE115">
        <v>0</v>
      </c>
      <c r="AF115">
        <v>8</v>
      </c>
      <c r="AG115" s="5">
        <v>0</v>
      </c>
      <c r="AH115" s="5">
        <v>0.1</v>
      </c>
      <c r="AI115" s="5">
        <v>0</v>
      </c>
      <c r="AJ115" s="3">
        <v>696</v>
      </c>
      <c r="AK115" s="5">
        <v>0.5</v>
      </c>
      <c r="AL115" s="5">
        <v>0.4</v>
      </c>
      <c r="AM115" s="5">
        <v>1.25</v>
      </c>
      <c r="AN115" s="3">
        <v>326</v>
      </c>
      <c r="AO115">
        <v>2</v>
      </c>
      <c r="AP115">
        <v>2</v>
      </c>
      <c r="AQ115" s="5">
        <v>1</v>
      </c>
      <c r="AR115" s="5">
        <v>0.8</v>
      </c>
      <c r="AS115" s="5">
        <v>1.25</v>
      </c>
      <c r="AT115" s="5">
        <v>1</v>
      </c>
    </row>
    <row r="116" spans="1:46" hidden="1">
      <c r="A116" t="str">
        <f>_xlfn.XLOOKUP(Table13[[#This Row],[SAP]],'Location List'!B:B,'Location List'!G:G)</f>
        <v>KS/OK</v>
      </c>
      <c r="B116" t="str">
        <f>LEFT(Table13[[#This Row],[Sap: Loaction]],4)</f>
        <v>966D</v>
      </c>
      <c r="C116" s="4" t="str">
        <f>_xlfn.XLOOKUP(Table13[[#This Row],[Employee]],'Location List'!M:M,'Location List'!N:N,"",0)</f>
        <v/>
      </c>
      <c r="D116" t="s">
        <v>973</v>
      </c>
      <c r="E116" t="s">
        <v>614</v>
      </c>
      <c r="F116" t="s">
        <v>499</v>
      </c>
      <c r="G116" s="3">
        <v>2</v>
      </c>
      <c r="H116" s="3">
        <v>485</v>
      </c>
      <c r="I116">
        <v>492.1</v>
      </c>
      <c r="J116" t="s">
        <v>454</v>
      </c>
      <c r="K116" s="6">
        <v>11.58</v>
      </c>
      <c r="L116" s="6">
        <v>40</v>
      </c>
      <c r="M116" s="5">
        <v>0.28949999999999998</v>
      </c>
      <c r="N116" s="3">
        <v>1004</v>
      </c>
      <c r="O116" s="10">
        <v>18</v>
      </c>
      <c r="P116" s="10">
        <v>68</v>
      </c>
      <c r="Q116" s="5">
        <v>0.26470588235294118</v>
      </c>
      <c r="R116" s="5">
        <v>0.19</v>
      </c>
      <c r="S116" s="5">
        <v>1.393184</v>
      </c>
      <c r="T116" s="3">
        <v>237</v>
      </c>
      <c r="U116" s="10">
        <v>2</v>
      </c>
      <c r="V116" s="10">
        <v>68</v>
      </c>
      <c r="W116" s="5">
        <v>2.9411764705882353E-2</v>
      </c>
      <c r="X116" s="5">
        <v>0.05</v>
      </c>
      <c r="Y116" s="5">
        <v>0.58821999999999997</v>
      </c>
      <c r="Z116" s="3">
        <v>465</v>
      </c>
      <c r="AA116" s="11">
        <v>1.5</v>
      </c>
      <c r="AB116" s="3">
        <v>432</v>
      </c>
      <c r="AC116">
        <v>5</v>
      </c>
      <c r="AD116" s="3">
        <v>62</v>
      </c>
      <c r="AE116">
        <v>1</v>
      </c>
      <c r="AF116">
        <v>13</v>
      </c>
      <c r="AG116" s="5">
        <v>7.6923076923076927E-2</v>
      </c>
      <c r="AH116" s="5">
        <v>0.1</v>
      </c>
      <c r="AI116" s="5">
        <v>0.76922999999999997</v>
      </c>
      <c r="AJ116" s="3">
        <v>554</v>
      </c>
      <c r="AK116" s="5">
        <v>0</v>
      </c>
      <c r="AL116" s="5">
        <v>0.4</v>
      </c>
      <c r="AM116" s="5">
        <v>0</v>
      </c>
      <c r="AN116" s="3">
        <v>1150</v>
      </c>
      <c r="AO116">
        <v>3</v>
      </c>
      <c r="AP116">
        <v>3</v>
      </c>
      <c r="AQ116" s="5">
        <v>1</v>
      </c>
      <c r="AR116" s="5">
        <v>0.8</v>
      </c>
      <c r="AS116" s="5">
        <v>1.25</v>
      </c>
      <c r="AT116" s="5">
        <v>1</v>
      </c>
    </row>
    <row r="117" spans="1:46" hidden="1">
      <c r="A117" t="str">
        <f>_xlfn.XLOOKUP(Table13[[#This Row],[SAP]],'Location List'!B:B,'Location List'!G:G)</f>
        <v>CENTRAL TEXAS</v>
      </c>
      <c r="B117" t="str">
        <f>LEFT(Table13[[#This Row],[Sap: Loaction]],4)</f>
        <v>1DSD</v>
      </c>
      <c r="C117" s="4" t="str">
        <f>_xlfn.XLOOKUP(Table13[[#This Row],[Employee]],'Location List'!M:M,'Location List'!N:N,"",0)</f>
        <v/>
      </c>
      <c r="D117" t="s">
        <v>973</v>
      </c>
      <c r="E117" t="s">
        <v>796</v>
      </c>
      <c r="F117" t="s">
        <v>567</v>
      </c>
      <c r="G117" s="3">
        <v>2</v>
      </c>
      <c r="H117" s="3">
        <v>489</v>
      </c>
      <c r="I117">
        <v>493.85</v>
      </c>
      <c r="J117" t="s">
        <v>454</v>
      </c>
      <c r="K117" s="6">
        <v>43.82</v>
      </c>
      <c r="L117" s="6">
        <v>35</v>
      </c>
      <c r="M117" s="5">
        <v>1.252</v>
      </c>
      <c r="N117" s="3">
        <v>343</v>
      </c>
      <c r="O117" s="10">
        <v>12</v>
      </c>
      <c r="P117" s="10">
        <v>105</v>
      </c>
      <c r="Q117" s="5">
        <v>0.11428571428571428</v>
      </c>
      <c r="R117" s="5">
        <v>0.19</v>
      </c>
      <c r="S117" s="5">
        <v>0.60150000000000003</v>
      </c>
      <c r="T117" s="3">
        <v>897</v>
      </c>
      <c r="U117" s="10">
        <v>8</v>
      </c>
      <c r="V117" s="10">
        <v>105</v>
      </c>
      <c r="W117" s="5">
        <v>7.6190476190476197E-2</v>
      </c>
      <c r="X117" s="5">
        <v>0.05</v>
      </c>
      <c r="Y117" s="5">
        <v>1.5238</v>
      </c>
      <c r="Z117" s="3">
        <v>67</v>
      </c>
      <c r="AA117" s="11">
        <v>0.3125</v>
      </c>
      <c r="AB117" s="3">
        <v>1312</v>
      </c>
      <c r="AC117">
        <v>6.6666660000000002</v>
      </c>
      <c r="AD117" s="3">
        <v>48</v>
      </c>
      <c r="AE117">
        <v>1</v>
      </c>
      <c r="AF117">
        <v>20</v>
      </c>
      <c r="AG117" s="5">
        <v>0.05</v>
      </c>
      <c r="AH117" s="5">
        <v>0.1</v>
      </c>
      <c r="AI117" s="5">
        <v>0.5</v>
      </c>
      <c r="AJ117" s="3">
        <v>640</v>
      </c>
      <c r="AK117" s="5">
        <v>0.6</v>
      </c>
      <c r="AL117" s="5">
        <v>0.4</v>
      </c>
      <c r="AM117" s="5">
        <v>1.5</v>
      </c>
      <c r="AN117" s="3">
        <v>242</v>
      </c>
      <c r="AO117">
        <v>1</v>
      </c>
      <c r="AP117">
        <v>1</v>
      </c>
      <c r="AQ117" s="5">
        <v>1</v>
      </c>
      <c r="AR117" s="5">
        <v>0.8</v>
      </c>
      <c r="AS117" s="5">
        <v>1.25</v>
      </c>
      <c r="AT117" s="5">
        <v>1</v>
      </c>
    </row>
    <row r="118" spans="1:46" hidden="1">
      <c r="A118" t="str">
        <f>_xlfn.XLOOKUP(Table13[[#This Row],[SAP]],'Location List'!B:B,'Location List'!G:G)</f>
        <v>DFW NORTH</v>
      </c>
      <c r="B118" t="str">
        <f>LEFT(Table13[[#This Row],[Sap: Loaction]],4)</f>
        <v>1BSE</v>
      </c>
      <c r="C118" s="4" t="str">
        <f>_xlfn.XLOOKUP(Table13[[#This Row],[Employee]],'Location List'!M:M,'Location List'!N:N,"",0)</f>
        <v/>
      </c>
      <c r="D118" t="s">
        <v>973</v>
      </c>
      <c r="E118" t="s">
        <v>928</v>
      </c>
      <c r="F118" t="s">
        <v>545</v>
      </c>
      <c r="G118" s="3">
        <v>2</v>
      </c>
      <c r="H118" s="3">
        <v>495</v>
      </c>
      <c r="I118">
        <v>498.45</v>
      </c>
      <c r="J118" t="s">
        <v>454</v>
      </c>
      <c r="K118" s="6">
        <v>21.38</v>
      </c>
      <c r="L118" s="6">
        <v>40</v>
      </c>
      <c r="M118" s="5">
        <v>0.53449999999999998</v>
      </c>
      <c r="N118" s="3">
        <v>830</v>
      </c>
      <c r="O118" s="10">
        <v>13</v>
      </c>
      <c r="P118" s="10">
        <v>42</v>
      </c>
      <c r="Q118" s="5">
        <v>0.30952380952380953</v>
      </c>
      <c r="R118" s="5">
        <v>0.19</v>
      </c>
      <c r="S118" s="5">
        <v>1.629068</v>
      </c>
      <c r="T118" s="3">
        <v>163</v>
      </c>
      <c r="U118" s="10">
        <v>1</v>
      </c>
      <c r="V118" s="10">
        <v>42</v>
      </c>
      <c r="W118" s="5">
        <v>2.3809523809523808E-2</v>
      </c>
      <c r="X118" s="5">
        <v>0.05</v>
      </c>
      <c r="Y118" s="5">
        <v>0.47617999999999999</v>
      </c>
      <c r="Z118" s="3">
        <v>562</v>
      </c>
      <c r="AA118" s="11">
        <v>8.3333000000000004E-2</v>
      </c>
      <c r="AB118" s="3">
        <v>1353</v>
      </c>
      <c r="AC118">
        <v>10</v>
      </c>
      <c r="AD118" s="3">
        <v>1</v>
      </c>
      <c r="AE118">
        <v>1</v>
      </c>
      <c r="AF118">
        <v>6</v>
      </c>
      <c r="AG118" s="5">
        <v>0.16666666666666666</v>
      </c>
      <c r="AH118" s="5">
        <v>0.1</v>
      </c>
      <c r="AI118" s="5">
        <v>1.66666</v>
      </c>
      <c r="AJ118" s="3">
        <v>319</v>
      </c>
      <c r="AK118" s="5">
        <v>0.55555533333333329</v>
      </c>
      <c r="AL118" s="5">
        <v>0.4</v>
      </c>
      <c r="AM118" s="5">
        <v>1.388887</v>
      </c>
      <c r="AN118" s="3">
        <v>289</v>
      </c>
      <c r="AO118">
        <v>4</v>
      </c>
      <c r="AP118">
        <v>7</v>
      </c>
      <c r="AQ118" s="5">
        <v>0.5714285714285714</v>
      </c>
      <c r="AR118" s="5">
        <v>0.8</v>
      </c>
      <c r="AS118" s="5">
        <v>0.71428499999999995</v>
      </c>
      <c r="AT118" s="5">
        <v>730</v>
      </c>
    </row>
    <row r="119" spans="1:46" hidden="1">
      <c r="A119" t="str">
        <f>_xlfn.XLOOKUP(Table13[[#This Row],[SAP]],'Location List'!B:B,'Location List'!G:G)</f>
        <v>DFW NORTH</v>
      </c>
      <c r="B119" t="str">
        <f>LEFT(Table13[[#This Row],[Sap: Loaction]],4)</f>
        <v>465D</v>
      </c>
      <c r="C119" s="4" t="str">
        <f>_xlfn.XLOOKUP(Table13[[#This Row],[Employee]],'Location List'!M:M,'Location List'!N:N,"",0)</f>
        <v/>
      </c>
      <c r="D119" t="s">
        <v>973</v>
      </c>
      <c r="E119" t="s">
        <v>655</v>
      </c>
      <c r="F119" t="s">
        <v>551</v>
      </c>
      <c r="G119" s="3">
        <v>2</v>
      </c>
      <c r="H119" s="3">
        <v>498</v>
      </c>
      <c r="I119">
        <v>499.25</v>
      </c>
      <c r="J119" t="s">
        <v>454</v>
      </c>
      <c r="K119" s="6">
        <v>30.75</v>
      </c>
      <c r="L119" s="6">
        <v>40</v>
      </c>
      <c r="M119" s="5">
        <v>0.76875000000000004</v>
      </c>
      <c r="N119" s="3">
        <v>667</v>
      </c>
      <c r="O119" s="10">
        <v>7</v>
      </c>
      <c r="P119" s="10">
        <v>60</v>
      </c>
      <c r="Q119" s="5">
        <v>0.11666666666666667</v>
      </c>
      <c r="R119" s="5">
        <v>0.19</v>
      </c>
      <c r="S119" s="5">
        <v>0.61403099999999999</v>
      </c>
      <c r="T119" s="3">
        <v>881</v>
      </c>
      <c r="U119" s="10">
        <v>2</v>
      </c>
      <c r="V119" s="10">
        <v>60</v>
      </c>
      <c r="W119" s="5">
        <v>3.3333333333333333E-2</v>
      </c>
      <c r="X119" s="5">
        <v>0.05</v>
      </c>
      <c r="Y119" s="5">
        <v>0.66666000000000003</v>
      </c>
      <c r="Z119" s="3">
        <v>395</v>
      </c>
      <c r="AA119" s="11">
        <v>0.75</v>
      </c>
      <c r="AB119" s="3">
        <v>992</v>
      </c>
      <c r="AC119">
        <v>7.5</v>
      </c>
      <c r="AD119" s="3">
        <v>43</v>
      </c>
      <c r="AE119">
        <v>2</v>
      </c>
      <c r="AF119">
        <v>18</v>
      </c>
      <c r="AG119" s="5">
        <v>0.1111111111111111</v>
      </c>
      <c r="AH119" s="5">
        <v>0.1</v>
      </c>
      <c r="AI119" s="5">
        <v>1.11111</v>
      </c>
      <c r="AJ119" s="3">
        <v>442</v>
      </c>
      <c r="AK119" s="5">
        <v>0.75</v>
      </c>
      <c r="AL119" s="5">
        <v>0.4</v>
      </c>
      <c r="AM119" s="5">
        <v>1.875</v>
      </c>
      <c r="AN119" s="3">
        <v>136</v>
      </c>
      <c r="AO119">
        <v>1</v>
      </c>
      <c r="AP119">
        <v>1</v>
      </c>
      <c r="AQ119" s="5">
        <v>1</v>
      </c>
      <c r="AR119" s="5">
        <v>0.8</v>
      </c>
      <c r="AS119" s="5">
        <v>1.25</v>
      </c>
      <c r="AT119" s="5">
        <v>1</v>
      </c>
    </row>
    <row r="120" spans="1:46" hidden="1">
      <c r="A120" t="str">
        <f>_xlfn.XLOOKUP(Table13[[#This Row],[SAP]],'Location List'!B:B,'Location List'!G:G)</f>
        <v>KS/OK</v>
      </c>
      <c r="B120" t="str">
        <f>LEFT(Table13[[#This Row],[Sap: Loaction]],4)</f>
        <v>966D</v>
      </c>
      <c r="C120" s="4" t="str">
        <f>_xlfn.XLOOKUP(Table13[[#This Row],[Employee]],'Location List'!M:M,'Location List'!N:N,"",0)</f>
        <v/>
      </c>
      <c r="D120" t="s">
        <v>973</v>
      </c>
      <c r="E120" t="s">
        <v>629</v>
      </c>
      <c r="F120" t="s">
        <v>499</v>
      </c>
      <c r="G120" s="3">
        <v>2</v>
      </c>
      <c r="H120" s="3">
        <v>513</v>
      </c>
      <c r="I120">
        <v>504.45</v>
      </c>
      <c r="J120" t="s">
        <v>454</v>
      </c>
      <c r="K120" s="6">
        <v>-12.58</v>
      </c>
      <c r="L120" s="6">
        <v>40</v>
      </c>
      <c r="M120" s="5">
        <v>-0.3145</v>
      </c>
      <c r="N120" s="3">
        <v>1353</v>
      </c>
      <c r="O120" s="10">
        <v>14</v>
      </c>
      <c r="P120" s="10">
        <v>59</v>
      </c>
      <c r="Q120" s="5">
        <v>0.23728813559322035</v>
      </c>
      <c r="R120" s="5">
        <v>0.19</v>
      </c>
      <c r="S120" s="5">
        <v>1.2488840000000001</v>
      </c>
      <c r="T120" s="3">
        <v>320</v>
      </c>
      <c r="U120" s="10">
        <v>4</v>
      </c>
      <c r="V120" s="10">
        <v>59</v>
      </c>
      <c r="W120" s="5">
        <v>6.7796610169491525E-2</v>
      </c>
      <c r="X120" s="5">
        <v>0.05</v>
      </c>
      <c r="Y120" s="5">
        <v>1.35592</v>
      </c>
      <c r="Z120" s="3">
        <v>98</v>
      </c>
      <c r="AA120" s="11">
        <v>0.8</v>
      </c>
      <c r="AB120" s="3">
        <v>958</v>
      </c>
      <c r="AC120">
        <v>10</v>
      </c>
      <c r="AD120" s="3">
        <v>1</v>
      </c>
      <c r="AE120">
        <v>2</v>
      </c>
      <c r="AF120">
        <v>9</v>
      </c>
      <c r="AG120" s="5">
        <v>0.22222222222222221</v>
      </c>
      <c r="AH120" s="5">
        <v>0.1</v>
      </c>
      <c r="AI120" s="5">
        <v>2.2222200000000001</v>
      </c>
      <c r="AJ120" s="3">
        <v>238</v>
      </c>
      <c r="AK120" s="5">
        <v>0.16666666666666666</v>
      </c>
      <c r="AL120" s="5">
        <v>0.4</v>
      </c>
      <c r="AM120" s="5">
        <v>0.41666500000000001</v>
      </c>
      <c r="AN120" s="3">
        <v>960</v>
      </c>
      <c r="AO120">
        <v>4</v>
      </c>
      <c r="AP120">
        <v>4</v>
      </c>
      <c r="AQ120" s="5">
        <v>1</v>
      </c>
      <c r="AR120" s="5">
        <v>0.8</v>
      </c>
      <c r="AS120" s="5">
        <v>1.25</v>
      </c>
      <c r="AT120" s="5">
        <v>1</v>
      </c>
    </row>
    <row r="121" spans="1:46" hidden="1">
      <c r="A121" t="str">
        <f>_xlfn.XLOOKUP(Table13[[#This Row],[SAP]],'Location List'!B:B,'Location List'!G:G)</f>
        <v>SA/HILL COUNTRY</v>
      </c>
      <c r="B121" t="str">
        <f>LEFT(Table13[[#This Row],[Sap: Loaction]],4)</f>
        <v>776D</v>
      </c>
      <c r="C121" s="4" t="str">
        <f>_xlfn.XLOOKUP(Table13[[#This Row],[Employee]],'Location List'!M:M,'Location List'!N:N,"",0)</f>
        <v/>
      </c>
      <c r="D121" t="s">
        <v>973</v>
      </c>
      <c r="E121" t="s">
        <v>680</v>
      </c>
      <c r="F121" t="s">
        <v>516</v>
      </c>
      <c r="G121" s="3">
        <v>2</v>
      </c>
      <c r="H121" s="3">
        <v>516</v>
      </c>
      <c r="I121">
        <v>505.35</v>
      </c>
      <c r="J121" t="s">
        <v>454</v>
      </c>
      <c r="K121" s="6">
        <v>39.18</v>
      </c>
      <c r="L121" s="6">
        <v>35</v>
      </c>
      <c r="M121" s="5">
        <v>1.1194285714285714</v>
      </c>
      <c r="N121" s="3">
        <v>419</v>
      </c>
      <c r="O121" s="10">
        <v>21</v>
      </c>
      <c r="P121" s="10">
        <v>62</v>
      </c>
      <c r="Q121" s="5">
        <v>0.33870967741935482</v>
      </c>
      <c r="R121" s="5">
        <v>0.19</v>
      </c>
      <c r="S121" s="5">
        <v>1.782678</v>
      </c>
      <c r="T121" s="3">
        <v>128</v>
      </c>
      <c r="U121" s="10">
        <v>0</v>
      </c>
      <c r="V121" s="10">
        <v>62</v>
      </c>
      <c r="W121" s="5">
        <v>0</v>
      </c>
      <c r="X121" s="5">
        <v>0.05</v>
      </c>
      <c r="Y121" s="5">
        <v>0</v>
      </c>
      <c r="Z121" s="3">
        <v>994</v>
      </c>
      <c r="AA121" s="11">
        <v>1</v>
      </c>
      <c r="AB121" s="3">
        <v>741</v>
      </c>
      <c r="AC121">
        <v>0</v>
      </c>
      <c r="AD121" s="3">
        <v>75</v>
      </c>
      <c r="AE121">
        <v>2</v>
      </c>
      <c r="AF121">
        <v>9</v>
      </c>
      <c r="AG121" s="5">
        <v>0.22222222222222221</v>
      </c>
      <c r="AH121" s="5">
        <v>0.1</v>
      </c>
      <c r="AI121" s="5">
        <v>2.2222200000000001</v>
      </c>
      <c r="AJ121" s="3">
        <v>238</v>
      </c>
      <c r="AK121" s="5">
        <v>5.5555500000000001E-2</v>
      </c>
      <c r="AL121" s="5">
        <v>0.4</v>
      </c>
      <c r="AM121" s="5">
        <v>0.13888700000000001</v>
      </c>
      <c r="AN121" s="3">
        <v>1133</v>
      </c>
      <c r="AO121">
        <v>3</v>
      </c>
      <c r="AP121">
        <v>11</v>
      </c>
      <c r="AQ121" s="5">
        <v>0.27272727272727271</v>
      </c>
      <c r="AR121" s="5">
        <v>0.8</v>
      </c>
      <c r="AS121" s="5">
        <v>0.34090799999999999</v>
      </c>
      <c r="AT121" s="5">
        <v>869</v>
      </c>
    </row>
    <row r="122" spans="1:46" hidden="1">
      <c r="A122" t="str">
        <f>_xlfn.XLOOKUP(Table13[[#This Row],[SAP]],'Location List'!B:B,'Location List'!G:G)</f>
        <v>DFW EAST</v>
      </c>
      <c r="B122" t="str">
        <f>LEFT(Table13[[#This Row],[Sap: Loaction]],4)</f>
        <v>0115</v>
      </c>
      <c r="C122" s="4" t="str">
        <f>_xlfn.XLOOKUP(Table13[[#This Row],[Employee]],'Location List'!M:M,'Location List'!N:N,"",0)</f>
        <v/>
      </c>
      <c r="D122" t="s">
        <v>973</v>
      </c>
      <c r="E122" t="s">
        <v>687</v>
      </c>
      <c r="F122" t="s">
        <v>530</v>
      </c>
      <c r="G122" s="3">
        <v>2</v>
      </c>
      <c r="H122" s="3">
        <v>518</v>
      </c>
      <c r="I122">
        <v>506.45</v>
      </c>
      <c r="J122" t="s">
        <v>454</v>
      </c>
      <c r="K122" s="6">
        <v>69.77</v>
      </c>
      <c r="L122" s="6">
        <v>39.999999999999993</v>
      </c>
      <c r="M122" s="5">
        <v>1.7442500000000001</v>
      </c>
      <c r="N122" s="3">
        <v>145</v>
      </c>
      <c r="O122" s="10">
        <v>23</v>
      </c>
      <c r="P122" s="10">
        <v>80</v>
      </c>
      <c r="Q122" s="5">
        <v>0.28749999999999998</v>
      </c>
      <c r="R122" s="5">
        <v>0.19</v>
      </c>
      <c r="S122" s="5">
        <v>1.5131570000000001</v>
      </c>
      <c r="T122" s="3">
        <v>202</v>
      </c>
      <c r="U122" s="10">
        <v>2</v>
      </c>
      <c r="V122" s="10">
        <v>80</v>
      </c>
      <c r="W122" s="5">
        <v>2.5000000000000001E-2</v>
      </c>
      <c r="X122" s="5">
        <v>0.05</v>
      </c>
      <c r="Y122" s="5">
        <v>0.5</v>
      </c>
      <c r="Z122" s="3">
        <v>535</v>
      </c>
      <c r="AA122" s="11">
        <v>0.75</v>
      </c>
      <c r="AB122" s="3">
        <v>992</v>
      </c>
      <c r="AC122">
        <v>9.6666659999999993</v>
      </c>
      <c r="AD122" s="3">
        <v>10</v>
      </c>
      <c r="AE122">
        <v>0</v>
      </c>
      <c r="AF122">
        <v>5</v>
      </c>
      <c r="AG122" s="5">
        <v>0</v>
      </c>
      <c r="AH122" s="5">
        <v>0.1</v>
      </c>
      <c r="AI122" s="5">
        <v>0</v>
      </c>
      <c r="AJ122" s="3">
        <v>696</v>
      </c>
      <c r="AK122" s="5">
        <v>0.16666666666666666</v>
      </c>
      <c r="AL122" s="5">
        <v>0.4</v>
      </c>
      <c r="AM122" s="5">
        <v>0.41666500000000001</v>
      </c>
      <c r="AN122" s="3">
        <v>960</v>
      </c>
      <c r="AQ122" s="5"/>
      <c r="AR122" s="5">
        <v>0.8</v>
      </c>
      <c r="AS122" s="5">
        <v>0</v>
      </c>
      <c r="AT122" s="5">
        <v>902</v>
      </c>
    </row>
    <row r="123" spans="1:46" hidden="1">
      <c r="A123" t="str">
        <f>_xlfn.XLOOKUP(Table13[[#This Row],[SAP]],'Location List'!B:B,'Location List'!G:G)</f>
        <v>SA SOUTH</v>
      </c>
      <c r="B123" t="str">
        <f>LEFT(Table13[[#This Row],[Sap: Loaction]],4)</f>
        <v>584D</v>
      </c>
      <c r="C123" s="4" t="str">
        <f>_xlfn.XLOOKUP(Table13[[#This Row],[Employee]],'Location List'!M:M,'Location List'!N:N,"",0)</f>
        <v/>
      </c>
      <c r="D123" t="s">
        <v>973</v>
      </c>
      <c r="E123" t="s">
        <v>769</v>
      </c>
      <c r="F123" t="s">
        <v>579</v>
      </c>
      <c r="G123" s="3">
        <v>2</v>
      </c>
      <c r="H123" s="3">
        <v>519</v>
      </c>
      <c r="I123">
        <v>508.05</v>
      </c>
      <c r="J123" t="s">
        <v>454</v>
      </c>
      <c r="K123" s="6">
        <v>32.78</v>
      </c>
      <c r="L123" s="6">
        <v>35</v>
      </c>
      <c r="M123" s="5">
        <v>0.93657142857142861</v>
      </c>
      <c r="N123" s="3">
        <v>535</v>
      </c>
      <c r="O123" s="10">
        <v>17</v>
      </c>
      <c r="P123" s="10">
        <v>124</v>
      </c>
      <c r="Q123" s="5">
        <v>0.13709677419354838</v>
      </c>
      <c r="R123" s="5">
        <v>0.19</v>
      </c>
      <c r="S123" s="5">
        <v>0.721557</v>
      </c>
      <c r="T123" s="3">
        <v>764</v>
      </c>
      <c r="U123" s="10">
        <v>3</v>
      </c>
      <c r="V123" s="10">
        <v>124</v>
      </c>
      <c r="W123" s="5">
        <v>2.4193548387096774E-2</v>
      </c>
      <c r="X123" s="5">
        <v>0.05</v>
      </c>
      <c r="Y123" s="5">
        <v>0.48386000000000001</v>
      </c>
      <c r="Z123" s="3">
        <v>558</v>
      </c>
      <c r="AA123" s="11">
        <v>1.4444440000000001</v>
      </c>
      <c r="AB123" s="3">
        <v>490</v>
      </c>
      <c r="AC123">
        <v>10</v>
      </c>
      <c r="AD123" s="3">
        <v>1</v>
      </c>
      <c r="AE123">
        <v>1</v>
      </c>
      <c r="AF123">
        <v>9</v>
      </c>
      <c r="AG123" s="5">
        <v>0.1111111111111111</v>
      </c>
      <c r="AH123" s="5">
        <v>0.1</v>
      </c>
      <c r="AI123" s="5">
        <v>1.11111</v>
      </c>
      <c r="AJ123" s="3">
        <v>442</v>
      </c>
      <c r="AK123" s="5">
        <v>0.75</v>
      </c>
      <c r="AL123" s="5">
        <v>0.4</v>
      </c>
      <c r="AM123" s="5">
        <v>1.875</v>
      </c>
      <c r="AN123" s="3">
        <v>136</v>
      </c>
      <c r="AO123">
        <v>0</v>
      </c>
      <c r="AP123">
        <v>3</v>
      </c>
      <c r="AQ123" s="5">
        <v>0</v>
      </c>
      <c r="AR123" s="5">
        <v>0.8</v>
      </c>
      <c r="AS123" s="5">
        <v>0</v>
      </c>
      <c r="AT123" s="5">
        <v>902</v>
      </c>
    </row>
    <row r="124" spans="1:46" hidden="1">
      <c r="A124" t="str">
        <f>_xlfn.XLOOKUP(Table13[[#This Row],[SAP]],'Location List'!B:B,'Location List'!G:G)</f>
        <v>DFW NORTH</v>
      </c>
      <c r="B124" t="str">
        <f>LEFT(Table13[[#This Row],[Sap: Loaction]],4)</f>
        <v>1BSE</v>
      </c>
      <c r="C124" s="4" t="str">
        <f>_xlfn.XLOOKUP(Table13[[#This Row],[Employee]],'Location List'!M:M,'Location List'!N:N,"",0)</f>
        <v/>
      </c>
      <c r="D124" t="s">
        <v>973</v>
      </c>
      <c r="E124" t="s">
        <v>993</v>
      </c>
      <c r="F124" t="s">
        <v>545</v>
      </c>
      <c r="G124" s="3">
        <v>2</v>
      </c>
      <c r="H124" s="3">
        <v>525</v>
      </c>
      <c r="I124">
        <v>509.9</v>
      </c>
      <c r="J124" t="s">
        <v>454</v>
      </c>
      <c r="K124" s="6">
        <v>26.01</v>
      </c>
      <c r="L124" s="6">
        <v>40</v>
      </c>
      <c r="M124" s="5">
        <v>0.65024999999999999</v>
      </c>
      <c r="N124" s="3">
        <v>752</v>
      </c>
      <c r="O124" s="10">
        <v>7</v>
      </c>
      <c r="P124" s="10">
        <v>51</v>
      </c>
      <c r="Q124" s="5">
        <v>0.13725490196078433</v>
      </c>
      <c r="R124" s="5">
        <v>0.19</v>
      </c>
      <c r="S124" s="5">
        <v>0.72238899999999995</v>
      </c>
      <c r="T124" s="3">
        <v>762</v>
      </c>
      <c r="U124" s="10">
        <v>1</v>
      </c>
      <c r="V124" s="10">
        <v>51</v>
      </c>
      <c r="W124" s="5">
        <v>1.9607843137254902E-2</v>
      </c>
      <c r="X124" s="5">
        <v>0.05</v>
      </c>
      <c r="Y124" s="5">
        <v>0.39213999999999999</v>
      </c>
      <c r="Z124" s="3">
        <v>670</v>
      </c>
      <c r="AA124" s="11">
        <v>2</v>
      </c>
      <c r="AB124" s="3">
        <v>210</v>
      </c>
      <c r="AC124">
        <v>10</v>
      </c>
      <c r="AD124" s="3">
        <v>1</v>
      </c>
      <c r="AE124">
        <v>1</v>
      </c>
      <c r="AF124">
        <v>9</v>
      </c>
      <c r="AG124" s="5">
        <v>0.1111111111111111</v>
      </c>
      <c r="AH124" s="5">
        <v>0.1</v>
      </c>
      <c r="AI124" s="5">
        <v>1.11111</v>
      </c>
      <c r="AJ124" s="3">
        <v>442</v>
      </c>
      <c r="AK124" s="5">
        <v>1</v>
      </c>
      <c r="AL124" s="5">
        <v>0.4</v>
      </c>
      <c r="AM124" s="5">
        <v>2.5</v>
      </c>
      <c r="AN124" s="3">
        <v>1</v>
      </c>
      <c r="AO124">
        <v>0</v>
      </c>
      <c r="AP124">
        <v>0</v>
      </c>
      <c r="AQ124" s="5" t="s">
        <v>653</v>
      </c>
      <c r="AR124" s="5">
        <v>0.8</v>
      </c>
      <c r="AS124" s="5">
        <v>0</v>
      </c>
      <c r="AT124" s="5">
        <v>902</v>
      </c>
    </row>
    <row r="125" spans="1:46" hidden="1">
      <c r="A125" t="str">
        <f>_xlfn.XLOOKUP(Table13[[#This Row],[SAP]],'Location List'!B:B,'Location List'!G:G)</f>
        <v>MO/IA/NE</v>
      </c>
      <c r="B125" t="str">
        <f>LEFT(Table13[[#This Row],[Sap: Loaction]],4)</f>
        <v>4ASA</v>
      </c>
      <c r="C125" s="4" t="str">
        <f>_xlfn.XLOOKUP(Table13[[#This Row],[Employee]],'Location List'!M:M,'Location List'!N:N,"",0)</f>
        <v/>
      </c>
      <c r="D125" t="s">
        <v>973</v>
      </c>
      <c r="E125" t="s">
        <v>871</v>
      </c>
      <c r="F125" t="s">
        <v>550</v>
      </c>
      <c r="G125" s="3">
        <v>2</v>
      </c>
      <c r="H125" s="3">
        <v>529</v>
      </c>
      <c r="I125">
        <v>510.55</v>
      </c>
      <c r="J125" t="s">
        <v>454</v>
      </c>
      <c r="K125" s="6">
        <v>88.08</v>
      </c>
      <c r="L125" s="6">
        <v>40</v>
      </c>
      <c r="M125" s="5">
        <v>2.202</v>
      </c>
      <c r="N125" s="3">
        <v>65</v>
      </c>
      <c r="O125" s="10">
        <v>20</v>
      </c>
      <c r="P125" s="10">
        <v>125</v>
      </c>
      <c r="Q125" s="5">
        <v>0.16</v>
      </c>
      <c r="R125" s="5">
        <v>0.19</v>
      </c>
      <c r="S125" s="5">
        <v>0.84210499999999999</v>
      </c>
      <c r="T125" s="3">
        <v>640</v>
      </c>
      <c r="U125" s="10">
        <v>11</v>
      </c>
      <c r="V125" s="10">
        <v>125</v>
      </c>
      <c r="W125" s="5">
        <v>8.7999999999999995E-2</v>
      </c>
      <c r="X125" s="5">
        <v>0.05</v>
      </c>
      <c r="Y125" s="5">
        <v>1.76</v>
      </c>
      <c r="Z125" s="3">
        <v>41</v>
      </c>
      <c r="AA125" s="11">
        <v>0.484848</v>
      </c>
      <c r="AB125" s="3">
        <v>1217</v>
      </c>
      <c r="AC125">
        <v>10</v>
      </c>
      <c r="AD125" s="3">
        <v>1</v>
      </c>
      <c r="AE125">
        <v>0</v>
      </c>
      <c r="AF125">
        <v>24</v>
      </c>
      <c r="AG125" s="5">
        <v>0</v>
      </c>
      <c r="AH125" s="5">
        <v>0.1</v>
      </c>
      <c r="AI125" s="5">
        <v>0</v>
      </c>
      <c r="AJ125" s="3">
        <v>696</v>
      </c>
      <c r="AK125" s="5">
        <v>0.3125</v>
      </c>
      <c r="AL125" s="5">
        <v>0.4</v>
      </c>
      <c r="AM125" s="5">
        <v>0.78125</v>
      </c>
      <c r="AN125" s="3">
        <v>744</v>
      </c>
      <c r="AO125">
        <v>6</v>
      </c>
      <c r="AP125">
        <v>9</v>
      </c>
      <c r="AQ125" s="5">
        <v>0.66666666666666663</v>
      </c>
      <c r="AR125" s="5">
        <v>0.8</v>
      </c>
      <c r="AS125" s="5">
        <v>0.83333199999999996</v>
      </c>
      <c r="AT125" s="5">
        <v>681</v>
      </c>
    </row>
    <row r="126" spans="1:46" hidden="1">
      <c r="A126" t="str">
        <f>_xlfn.XLOOKUP(Table13[[#This Row],[SAP]],'Location List'!B:B,'Location List'!G:G)</f>
        <v>SOUTH TX/RGV</v>
      </c>
      <c r="B126" t="str">
        <f>LEFT(Table13[[#This Row],[Sap: Loaction]],4)</f>
        <v>2584</v>
      </c>
      <c r="C126" s="4" t="str">
        <f>_xlfn.XLOOKUP(Table13[[#This Row],[Employee]],'Location List'!M:M,'Location List'!N:N,"",0)</f>
        <v/>
      </c>
      <c r="D126" t="s">
        <v>973</v>
      </c>
      <c r="E126" t="s">
        <v>630</v>
      </c>
      <c r="F126" t="s">
        <v>498</v>
      </c>
      <c r="G126" s="3">
        <v>2</v>
      </c>
      <c r="H126" s="3">
        <v>532</v>
      </c>
      <c r="I126">
        <v>511.6</v>
      </c>
      <c r="J126" t="s">
        <v>454</v>
      </c>
      <c r="K126" s="6">
        <v>55.85</v>
      </c>
      <c r="L126" s="6">
        <v>40</v>
      </c>
      <c r="M126" s="5">
        <v>1.39625</v>
      </c>
      <c r="N126" s="3">
        <v>278</v>
      </c>
      <c r="O126" s="10">
        <v>14</v>
      </c>
      <c r="P126" s="10">
        <v>100</v>
      </c>
      <c r="Q126" s="5">
        <v>0.14000000000000001</v>
      </c>
      <c r="R126" s="5">
        <v>0.19</v>
      </c>
      <c r="S126" s="5">
        <v>0.736842</v>
      </c>
      <c r="T126" s="3">
        <v>744</v>
      </c>
      <c r="U126" s="10">
        <v>3</v>
      </c>
      <c r="V126" s="10">
        <v>100</v>
      </c>
      <c r="W126" s="5">
        <v>0.03</v>
      </c>
      <c r="X126" s="5">
        <v>0.05</v>
      </c>
      <c r="Y126" s="5">
        <v>0.6</v>
      </c>
      <c r="Z126" s="3">
        <v>455</v>
      </c>
      <c r="AA126" s="11">
        <v>1.416666</v>
      </c>
      <c r="AB126" s="3">
        <v>503</v>
      </c>
      <c r="AC126">
        <v>0</v>
      </c>
      <c r="AD126" s="3">
        <v>75</v>
      </c>
      <c r="AE126">
        <v>0</v>
      </c>
      <c r="AF126">
        <v>16</v>
      </c>
      <c r="AG126" s="5">
        <v>0</v>
      </c>
      <c r="AH126" s="5">
        <v>0.1</v>
      </c>
      <c r="AI126" s="5">
        <v>0</v>
      </c>
      <c r="AJ126" s="3">
        <v>696</v>
      </c>
      <c r="AK126" s="5">
        <v>0.35714275000000001</v>
      </c>
      <c r="AL126" s="5">
        <v>0.4</v>
      </c>
      <c r="AM126" s="5">
        <v>1.145832</v>
      </c>
      <c r="AN126" s="3">
        <v>490</v>
      </c>
      <c r="AO126">
        <v>3</v>
      </c>
      <c r="AP126">
        <v>4</v>
      </c>
      <c r="AQ126" s="5">
        <v>0.75</v>
      </c>
      <c r="AR126" s="5">
        <v>0.8</v>
      </c>
      <c r="AS126" s="5">
        <v>0.9375</v>
      </c>
      <c r="AT126" s="5">
        <v>644</v>
      </c>
    </row>
    <row r="127" spans="1:46" hidden="1">
      <c r="A127" t="str">
        <f>_xlfn.XLOOKUP(Table13[[#This Row],[SAP]],'Location List'!B:B,'Location List'!G:G)</f>
        <v>SOUTH TX/RGV</v>
      </c>
      <c r="B127" t="str">
        <f>LEFT(Table13[[#This Row],[Sap: Loaction]],4)</f>
        <v>536E</v>
      </c>
      <c r="C127" s="4" t="str">
        <f>_xlfn.XLOOKUP(Table13[[#This Row],[Employee]],'Location List'!M:M,'Location List'!N:N,"",0)</f>
        <v/>
      </c>
      <c r="D127" t="s">
        <v>973</v>
      </c>
      <c r="E127" t="s">
        <v>925</v>
      </c>
      <c r="F127" t="s">
        <v>566</v>
      </c>
      <c r="G127" s="3">
        <v>2</v>
      </c>
      <c r="H127" s="3">
        <v>542</v>
      </c>
      <c r="I127">
        <v>514.75</v>
      </c>
      <c r="J127" t="s">
        <v>454</v>
      </c>
      <c r="K127" s="6">
        <v>56.03</v>
      </c>
      <c r="L127" s="6">
        <v>30.000000000000004</v>
      </c>
      <c r="M127" s="5">
        <v>1.8676666666666666</v>
      </c>
      <c r="N127" s="3">
        <v>115</v>
      </c>
      <c r="O127" s="10">
        <v>10</v>
      </c>
      <c r="P127" s="10">
        <v>51</v>
      </c>
      <c r="Q127" s="5">
        <v>0.19607843137254902</v>
      </c>
      <c r="R127" s="5">
        <v>0.19</v>
      </c>
      <c r="S127" s="5">
        <v>1.031989</v>
      </c>
      <c r="T127" s="3">
        <v>485</v>
      </c>
      <c r="U127" s="10">
        <v>0</v>
      </c>
      <c r="V127" s="10">
        <v>51</v>
      </c>
      <c r="W127" s="5">
        <v>0</v>
      </c>
      <c r="X127" s="5">
        <v>0.05</v>
      </c>
      <c r="Y127" s="5">
        <v>0</v>
      </c>
      <c r="Z127" s="3">
        <v>994</v>
      </c>
      <c r="AA127" s="11">
        <v>1</v>
      </c>
      <c r="AB127" s="3">
        <v>741</v>
      </c>
      <c r="AC127">
        <v>0</v>
      </c>
      <c r="AD127" s="3">
        <v>75</v>
      </c>
      <c r="AE127">
        <v>0</v>
      </c>
      <c r="AF127">
        <v>6</v>
      </c>
      <c r="AG127" s="5">
        <v>0</v>
      </c>
      <c r="AH127" s="5">
        <v>0.1</v>
      </c>
      <c r="AI127" s="5">
        <v>0</v>
      </c>
      <c r="AJ127" s="3">
        <v>696</v>
      </c>
      <c r="AK127" s="5">
        <v>0</v>
      </c>
      <c r="AL127" s="5">
        <v>0.4</v>
      </c>
      <c r="AM127" s="5">
        <v>0</v>
      </c>
      <c r="AN127" s="3">
        <v>1150</v>
      </c>
      <c r="AO127">
        <v>1</v>
      </c>
      <c r="AP127">
        <v>1</v>
      </c>
      <c r="AQ127" s="5">
        <v>1</v>
      </c>
      <c r="AR127" s="5">
        <v>0.8</v>
      </c>
      <c r="AS127" s="5">
        <v>1.25</v>
      </c>
      <c r="AT127" s="5">
        <v>1</v>
      </c>
    </row>
    <row r="128" spans="1:46" hidden="1">
      <c r="A128" t="str">
        <f>_xlfn.XLOOKUP(Table13[[#This Row],[SAP]],'Location List'!B:B,'Location List'!G:G)</f>
        <v>SA/HILL COUNTRY</v>
      </c>
      <c r="B128" t="str">
        <f>LEFT(Table13[[#This Row],[Sap: Loaction]],4)</f>
        <v>1ESB</v>
      </c>
      <c r="C128" s="4" t="str">
        <f>_xlfn.XLOOKUP(Table13[[#This Row],[Employee]],'Location List'!M:M,'Location List'!N:N,"",0)</f>
        <v/>
      </c>
      <c r="D128" t="s">
        <v>973</v>
      </c>
      <c r="E128" t="s">
        <v>824</v>
      </c>
      <c r="F128" t="s">
        <v>515</v>
      </c>
      <c r="G128" s="3">
        <v>2</v>
      </c>
      <c r="H128" s="3">
        <v>543</v>
      </c>
      <c r="I128">
        <v>515.29999999999995</v>
      </c>
      <c r="J128" t="s">
        <v>454</v>
      </c>
      <c r="K128" s="6">
        <v>36.93</v>
      </c>
      <c r="L128" s="6">
        <v>40</v>
      </c>
      <c r="M128" s="5">
        <v>0.92325000000000002</v>
      </c>
      <c r="N128" s="3">
        <v>548</v>
      </c>
      <c r="O128" s="10">
        <v>7</v>
      </c>
      <c r="P128" s="10">
        <v>53</v>
      </c>
      <c r="Q128" s="5">
        <v>0.13207547169811321</v>
      </c>
      <c r="R128" s="5">
        <v>0.19</v>
      </c>
      <c r="S128" s="5">
        <v>0.69513100000000005</v>
      </c>
      <c r="T128" s="3">
        <v>790</v>
      </c>
      <c r="U128" s="10">
        <v>3</v>
      </c>
      <c r="V128" s="10">
        <v>53</v>
      </c>
      <c r="W128" s="5">
        <v>5.6603773584905662E-2</v>
      </c>
      <c r="X128" s="5">
        <v>0.05</v>
      </c>
      <c r="Y128" s="5">
        <v>1.1320600000000001</v>
      </c>
      <c r="Z128" s="3">
        <v>158</v>
      </c>
      <c r="AA128" s="11">
        <v>0.4</v>
      </c>
      <c r="AB128" s="3">
        <v>1247</v>
      </c>
      <c r="AC128">
        <v>10</v>
      </c>
      <c r="AD128" s="3">
        <v>1</v>
      </c>
      <c r="AE128">
        <v>1</v>
      </c>
      <c r="AF128">
        <v>5</v>
      </c>
      <c r="AG128" s="5">
        <v>0.2</v>
      </c>
      <c r="AH128" s="5">
        <v>0.1</v>
      </c>
      <c r="AI128" s="5">
        <v>2</v>
      </c>
      <c r="AJ128" s="3">
        <v>256</v>
      </c>
      <c r="AK128" s="5">
        <v>0.16666666666666666</v>
      </c>
      <c r="AL128" s="5">
        <v>0.4</v>
      </c>
      <c r="AM128" s="5">
        <v>0.41666500000000001</v>
      </c>
      <c r="AN128" s="3">
        <v>960</v>
      </c>
      <c r="AO128">
        <v>4</v>
      </c>
      <c r="AP128">
        <v>4</v>
      </c>
      <c r="AQ128" s="5">
        <v>1</v>
      </c>
      <c r="AR128" s="5">
        <v>0.8</v>
      </c>
      <c r="AS128" s="5">
        <v>1.25</v>
      </c>
      <c r="AT128" s="5">
        <v>1</v>
      </c>
    </row>
    <row r="129" spans="1:46" hidden="1">
      <c r="A129" t="str">
        <f>_xlfn.XLOOKUP(Table13[[#This Row],[SAP]],'Location List'!B:B,'Location List'!G:G)</f>
        <v>DFW NORTH</v>
      </c>
      <c r="B129" t="str">
        <f>LEFT(Table13[[#This Row],[Sap: Loaction]],4)</f>
        <v>256E</v>
      </c>
      <c r="C129" s="4" t="str">
        <f>_xlfn.XLOOKUP(Table13[[#This Row],[Employee]],'Location List'!M:M,'Location List'!N:N,"",0)</f>
        <v/>
      </c>
      <c r="D129" t="s">
        <v>973</v>
      </c>
      <c r="E129" t="s">
        <v>879</v>
      </c>
      <c r="F129" t="s">
        <v>577</v>
      </c>
      <c r="G129" s="3">
        <v>2</v>
      </c>
      <c r="H129" s="3">
        <v>546</v>
      </c>
      <c r="I129">
        <v>515.65</v>
      </c>
      <c r="J129" t="s">
        <v>454</v>
      </c>
      <c r="K129" s="6">
        <v>55.94</v>
      </c>
      <c r="L129" s="6">
        <v>35</v>
      </c>
      <c r="M129" s="5">
        <v>1.5982857142857143</v>
      </c>
      <c r="N129" s="3">
        <v>189</v>
      </c>
      <c r="O129" s="10">
        <v>15</v>
      </c>
      <c r="P129" s="10">
        <v>63</v>
      </c>
      <c r="Q129" s="5">
        <v>0.23809523809523808</v>
      </c>
      <c r="R129" s="5">
        <v>0.19</v>
      </c>
      <c r="S129" s="5">
        <v>1.253131</v>
      </c>
      <c r="T129" s="3">
        <v>315</v>
      </c>
      <c r="U129" s="10">
        <v>1</v>
      </c>
      <c r="V129" s="10">
        <v>63</v>
      </c>
      <c r="W129" s="5">
        <v>1.5873015873015872E-2</v>
      </c>
      <c r="X129" s="5">
        <v>0.05</v>
      </c>
      <c r="Y129" s="5">
        <v>0.31746000000000002</v>
      </c>
      <c r="Z129" s="3">
        <v>785</v>
      </c>
      <c r="AA129" s="11">
        <v>1.2222219999999999</v>
      </c>
      <c r="AB129" s="3">
        <v>627</v>
      </c>
      <c r="AC129">
        <v>10</v>
      </c>
      <c r="AD129" s="3">
        <v>1</v>
      </c>
      <c r="AE129">
        <v>0</v>
      </c>
      <c r="AF129">
        <v>10</v>
      </c>
      <c r="AG129" s="5">
        <v>0</v>
      </c>
      <c r="AH129" s="5">
        <v>0.1</v>
      </c>
      <c r="AI129" s="5">
        <v>0</v>
      </c>
      <c r="AJ129" s="3">
        <v>696</v>
      </c>
      <c r="AK129" s="5">
        <v>0.23809499999999997</v>
      </c>
      <c r="AL129" s="5">
        <v>0.4</v>
      </c>
      <c r="AM129" s="5">
        <v>0.59523700000000002</v>
      </c>
      <c r="AN129" s="3">
        <v>884</v>
      </c>
      <c r="AO129">
        <v>0</v>
      </c>
      <c r="AP129">
        <v>3</v>
      </c>
      <c r="AQ129" s="5">
        <v>0</v>
      </c>
      <c r="AR129" s="5">
        <v>0.8</v>
      </c>
      <c r="AS129" s="5">
        <v>0</v>
      </c>
      <c r="AT129" s="5">
        <v>902</v>
      </c>
    </row>
    <row r="130" spans="1:46" hidden="1">
      <c r="A130" t="str">
        <f>_xlfn.XLOOKUP(Table13[[#This Row],[SAP]],'Location List'!B:B,'Location List'!G:G)</f>
        <v>SOUTH TX/RGV</v>
      </c>
      <c r="B130" t="str">
        <f>LEFT(Table13[[#This Row],[Sap: Loaction]],4)</f>
        <v>2584</v>
      </c>
      <c r="C130" s="4" t="str">
        <f>_xlfn.XLOOKUP(Table13[[#This Row],[Employee]],'Location List'!M:M,'Location List'!N:N,"",0)</f>
        <v/>
      </c>
      <c r="D130" t="s">
        <v>973</v>
      </c>
      <c r="E130" t="s">
        <v>683</v>
      </c>
      <c r="F130" t="s">
        <v>498</v>
      </c>
      <c r="G130" s="3">
        <v>2</v>
      </c>
      <c r="H130" s="3">
        <v>546</v>
      </c>
      <c r="I130">
        <v>515.65</v>
      </c>
      <c r="J130" t="s">
        <v>454</v>
      </c>
      <c r="K130" s="6">
        <v>30.32</v>
      </c>
      <c r="L130" s="6">
        <v>40</v>
      </c>
      <c r="M130" s="5">
        <v>0.75800000000000001</v>
      </c>
      <c r="N130" s="3">
        <v>673</v>
      </c>
      <c r="O130" s="10">
        <v>21</v>
      </c>
      <c r="P130" s="10">
        <v>151</v>
      </c>
      <c r="Q130" s="5">
        <v>0.13907284768211919</v>
      </c>
      <c r="R130" s="5">
        <v>0.19</v>
      </c>
      <c r="S130" s="5">
        <v>0.73195699999999997</v>
      </c>
      <c r="T130" s="3">
        <v>753</v>
      </c>
      <c r="U130" s="10">
        <v>7</v>
      </c>
      <c r="V130" s="10">
        <v>151</v>
      </c>
      <c r="W130" s="5">
        <v>4.6357615894039736E-2</v>
      </c>
      <c r="X130" s="5">
        <v>0.05</v>
      </c>
      <c r="Y130" s="5">
        <v>0.92713999999999996</v>
      </c>
      <c r="Z130" s="3">
        <v>259</v>
      </c>
      <c r="AA130" s="11">
        <v>0.57142800000000005</v>
      </c>
      <c r="AB130" s="3">
        <v>1141</v>
      </c>
      <c r="AC130">
        <v>8.75</v>
      </c>
      <c r="AD130" s="3">
        <v>24</v>
      </c>
      <c r="AE130">
        <v>3</v>
      </c>
      <c r="AF130">
        <v>29</v>
      </c>
      <c r="AG130" s="5">
        <v>0.10344827586206896</v>
      </c>
      <c r="AH130" s="5">
        <v>0.1</v>
      </c>
      <c r="AI130" s="5">
        <v>1.0344800000000001</v>
      </c>
      <c r="AJ130" s="3">
        <v>484</v>
      </c>
      <c r="AK130" s="5">
        <v>0.45833333333333331</v>
      </c>
      <c r="AL130" s="5">
        <v>0.4</v>
      </c>
      <c r="AM130" s="5">
        <v>1.145832</v>
      </c>
      <c r="AN130" s="3">
        <v>490</v>
      </c>
      <c r="AO130">
        <v>4</v>
      </c>
      <c r="AP130">
        <v>4</v>
      </c>
      <c r="AQ130" s="5">
        <v>1</v>
      </c>
      <c r="AR130" s="5">
        <v>0.8</v>
      </c>
      <c r="AS130" s="5">
        <v>1.25</v>
      </c>
      <c r="AT130" s="5">
        <v>1</v>
      </c>
    </row>
    <row r="131" spans="1:46" hidden="1">
      <c r="A131" t="str">
        <f>_xlfn.XLOOKUP(Table13[[#This Row],[SAP]],'Location List'!B:B,'Location List'!G:G)</f>
        <v>KS/OK</v>
      </c>
      <c r="B131" t="str">
        <f>LEFT(Table13[[#This Row],[Sap: Loaction]],4)</f>
        <v>4DSC</v>
      </c>
      <c r="C131" s="4" t="str">
        <f>_xlfn.XLOOKUP(Table13[[#This Row],[Employee]],'Location List'!M:M,'Location List'!N:N,"",0)</f>
        <v/>
      </c>
      <c r="D131" t="s">
        <v>973</v>
      </c>
      <c r="E131" t="s">
        <v>695</v>
      </c>
      <c r="F131" t="s">
        <v>528</v>
      </c>
      <c r="G131" s="3">
        <v>2</v>
      </c>
      <c r="H131" s="3">
        <v>551</v>
      </c>
      <c r="I131">
        <v>516.04999999999995</v>
      </c>
      <c r="J131" t="s">
        <v>454</v>
      </c>
      <c r="K131" s="6">
        <v>45.15</v>
      </c>
      <c r="L131" s="6">
        <v>35</v>
      </c>
      <c r="M131" s="5">
        <v>1.29</v>
      </c>
      <c r="N131" s="3">
        <v>323</v>
      </c>
      <c r="O131" s="10">
        <v>15</v>
      </c>
      <c r="P131" s="10">
        <v>61</v>
      </c>
      <c r="Q131" s="5">
        <v>0.24590163934426229</v>
      </c>
      <c r="R131" s="5">
        <v>0.19</v>
      </c>
      <c r="S131" s="5">
        <v>1.2942149999999999</v>
      </c>
      <c r="T131" s="3">
        <v>290</v>
      </c>
      <c r="U131" s="10">
        <v>0</v>
      </c>
      <c r="V131" s="10">
        <v>61</v>
      </c>
      <c r="W131" s="5">
        <v>0</v>
      </c>
      <c r="X131" s="5">
        <v>0.05</v>
      </c>
      <c r="Y131" s="5">
        <v>0</v>
      </c>
      <c r="Z131" s="3">
        <v>994</v>
      </c>
      <c r="AA131" s="11">
        <v>5</v>
      </c>
      <c r="AB131" s="3">
        <v>13</v>
      </c>
      <c r="AC131">
        <v>0</v>
      </c>
      <c r="AD131" s="3">
        <v>75</v>
      </c>
      <c r="AE131">
        <v>0</v>
      </c>
      <c r="AF131">
        <v>12</v>
      </c>
      <c r="AG131" s="5">
        <v>0</v>
      </c>
      <c r="AH131" s="5">
        <v>0.1</v>
      </c>
      <c r="AI131" s="5">
        <v>0</v>
      </c>
      <c r="AJ131" s="3">
        <v>696</v>
      </c>
      <c r="AK131" s="5">
        <v>0.111111</v>
      </c>
      <c r="AL131" s="5">
        <v>0.4</v>
      </c>
      <c r="AM131" s="5">
        <v>0.277777</v>
      </c>
      <c r="AN131" s="3">
        <v>1068</v>
      </c>
      <c r="AO131">
        <v>0</v>
      </c>
      <c r="AP131">
        <v>4</v>
      </c>
      <c r="AQ131" s="5">
        <v>0</v>
      </c>
      <c r="AR131" s="5">
        <v>0.8</v>
      </c>
      <c r="AS131" s="5">
        <v>0</v>
      </c>
      <c r="AT131" s="5">
        <v>902</v>
      </c>
    </row>
    <row r="132" spans="1:46" hidden="1">
      <c r="A132" t="str">
        <f>_xlfn.XLOOKUP(Table13[[#This Row],[SAP]],'Location List'!B:B,'Location List'!G:G)</f>
        <v>CENTRAL TEXAS</v>
      </c>
      <c r="B132" t="str">
        <f>LEFT(Table13[[#This Row],[Sap: Loaction]],4)</f>
        <v>1FSH</v>
      </c>
      <c r="C132" s="4" t="str">
        <f>_xlfn.XLOOKUP(Table13[[#This Row],[Employee]],'Location List'!M:M,'Location List'!N:N,"",0)</f>
        <v/>
      </c>
      <c r="D132" t="s">
        <v>973</v>
      </c>
      <c r="E132" t="s">
        <v>748</v>
      </c>
      <c r="F132" t="s">
        <v>508</v>
      </c>
      <c r="G132" s="3">
        <v>2</v>
      </c>
      <c r="H132" s="3">
        <v>552</v>
      </c>
      <c r="I132">
        <v>516.35</v>
      </c>
      <c r="J132" t="s">
        <v>454</v>
      </c>
      <c r="K132" s="6">
        <v>63.81</v>
      </c>
      <c r="L132" s="6">
        <v>40</v>
      </c>
      <c r="M132" s="5">
        <v>1.5952500000000001</v>
      </c>
      <c r="N132" s="3">
        <v>191</v>
      </c>
      <c r="O132" s="10">
        <v>18</v>
      </c>
      <c r="P132" s="10">
        <v>106</v>
      </c>
      <c r="Q132" s="5">
        <v>0.16981132075471697</v>
      </c>
      <c r="R132" s="5">
        <v>0.19</v>
      </c>
      <c r="S132" s="5">
        <v>0.89374200000000004</v>
      </c>
      <c r="T132" s="3">
        <v>594</v>
      </c>
      <c r="U132" s="10">
        <v>2</v>
      </c>
      <c r="V132" s="10">
        <v>106</v>
      </c>
      <c r="W132" s="5">
        <v>1.8867924528301886E-2</v>
      </c>
      <c r="X132" s="5">
        <v>0.05</v>
      </c>
      <c r="Y132" s="5">
        <v>0.37734000000000001</v>
      </c>
      <c r="Z132" s="3">
        <v>692</v>
      </c>
      <c r="AA132" s="11">
        <v>0.92857100000000004</v>
      </c>
      <c r="AB132" s="3">
        <v>865</v>
      </c>
      <c r="AC132">
        <v>7</v>
      </c>
      <c r="AD132" s="3">
        <v>46</v>
      </c>
      <c r="AE132">
        <v>3</v>
      </c>
      <c r="AF132">
        <v>17</v>
      </c>
      <c r="AG132" s="5">
        <v>0.17647058823529413</v>
      </c>
      <c r="AH132" s="5">
        <v>0.1</v>
      </c>
      <c r="AI132" s="5">
        <v>1.7646999999999999</v>
      </c>
      <c r="AJ132" s="3">
        <v>314</v>
      </c>
      <c r="AK132" s="5">
        <v>0.3142855</v>
      </c>
      <c r="AL132" s="5">
        <v>0.4</v>
      </c>
      <c r="AM132" s="5">
        <v>0.78571199999999997</v>
      </c>
      <c r="AN132" s="3">
        <v>743</v>
      </c>
      <c r="AO132">
        <v>2</v>
      </c>
      <c r="AP132">
        <v>8</v>
      </c>
      <c r="AQ132" s="5">
        <v>0.25</v>
      </c>
      <c r="AR132" s="5">
        <v>0.8</v>
      </c>
      <c r="AS132" s="5">
        <v>0.3125</v>
      </c>
      <c r="AT132" s="5">
        <v>872</v>
      </c>
    </row>
    <row r="133" spans="1:46" hidden="1">
      <c r="A133" t="str">
        <f>_xlfn.XLOOKUP(Table13[[#This Row],[SAP]],'Location List'!B:B,'Location List'!G:G)</f>
        <v>CENTRAL TEXAS</v>
      </c>
      <c r="B133" t="str">
        <f>LEFT(Table13[[#This Row],[Sap: Loaction]],4)</f>
        <v>1DSD</v>
      </c>
      <c r="C133" s="4" t="str">
        <f>_xlfn.XLOOKUP(Table13[[#This Row],[Employee]],'Location List'!M:M,'Location List'!N:N,"",0)</f>
        <v/>
      </c>
      <c r="D133" t="s">
        <v>973</v>
      </c>
      <c r="E133" t="s">
        <v>778</v>
      </c>
      <c r="F133" t="s">
        <v>567</v>
      </c>
      <c r="G133" s="3">
        <v>2</v>
      </c>
      <c r="H133" s="3">
        <v>553</v>
      </c>
      <c r="I133">
        <v>516.54999999999995</v>
      </c>
      <c r="J133" t="s">
        <v>454</v>
      </c>
      <c r="K133" s="6">
        <v>19.22</v>
      </c>
      <c r="L133" s="6">
        <v>35</v>
      </c>
      <c r="M133" s="5">
        <v>0.54914285714285715</v>
      </c>
      <c r="N133" s="3">
        <v>818</v>
      </c>
      <c r="O133" s="10">
        <v>12</v>
      </c>
      <c r="P133" s="10">
        <v>74</v>
      </c>
      <c r="Q133" s="5">
        <v>0.16216216216216217</v>
      </c>
      <c r="R133" s="5">
        <v>0.19</v>
      </c>
      <c r="S133" s="5">
        <v>0.85348400000000002</v>
      </c>
      <c r="T133" s="3">
        <v>630</v>
      </c>
      <c r="U133" s="10">
        <v>9</v>
      </c>
      <c r="V133" s="10">
        <v>74</v>
      </c>
      <c r="W133" s="5">
        <v>0.12162162162162163</v>
      </c>
      <c r="X133" s="5">
        <v>0.05</v>
      </c>
      <c r="Y133" s="5">
        <v>2.43242</v>
      </c>
      <c r="Z133" s="3">
        <v>13</v>
      </c>
      <c r="AA133" s="11">
        <v>1.166666</v>
      </c>
      <c r="AB133" s="3">
        <v>667</v>
      </c>
      <c r="AC133">
        <v>10</v>
      </c>
      <c r="AD133" s="3">
        <v>1</v>
      </c>
      <c r="AE133">
        <v>2</v>
      </c>
      <c r="AF133">
        <v>21</v>
      </c>
      <c r="AG133" s="5">
        <v>9.5238095238095233E-2</v>
      </c>
      <c r="AH133" s="5">
        <v>0.1</v>
      </c>
      <c r="AI133" s="5">
        <v>0.95238</v>
      </c>
      <c r="AJ133" s="3">
        <v>513</v>
      </c>
      <c r="AK133" s="5">
        <v>0.5</v>
      </c>
      <c r="AL133" s="5">
        <v>0.4</v>
      </c>
      <c r="AM133" s="5">
        <v>1.25</v>
      </c>
      <c r="AN133" s="3">
        <v>326</v>
      </c>
      <c r="AO133">
        <v>0</v>
      </c>
      <c r="AP133">
        <v>0</v>
      </c>
      <c r="AQ133" s="5" t="s">
        <v>653</v>
      </c>
      <c r="AR133" s="5">
        <v>0.8</v>
      </c>
      <c r="AS133" s="5">
        <v>0</v>
      </c>
      <c r="AT133" s="5">
        <v>902</v>
      </c>
    </row>
    <row r="134" spans="1:46" hidden="1">
      <c r="A134" t="str">
        <f>_xlfn.XLOOKUP(Table13[[#This Row],[SAP]],'Location List'!B:B,'Location List'!G:G)</f>
        <v>SA/HILL COUNTRY</v>
      </c>
      <c r="B134" t="str">
        <f>LEFT(Table13[[#This Row],[Sap: Loaction]],4)</f>
        <v>767D</v>
      </c>
      <c r="C134" s="4" t="str">
        <f>_xlfn.XLOOKUP(Table13[[#This Row],[Employee]],'Location List'!M:M,'Location List'!N:N,"",0)</f>
        <v>RSM</v>
      </c>
      <c r="D134" t="s">
        <v>973</v>
      </c>
      <c r="E134" t="s">
        <v>918</v>
      </c>
      <c r="F134" t="s">
        <v>562</v>
      </c>
      <c r="G134" s="3">
        <v>2</v>
      </c>
      <c r="H134" s="3">
        <v>554</v>
      </c>
      <c r="I134">
        <v>517.35</v>
      </c>
      <c r="J134" t="s">
        <v>454</v>
      </c>
      <c r="K134" s="6">
        <v>18.27</v>
      </c>
      <c r="L134" s="6">
        <v>35</v>
      </c>
      <c r="M134" s="5">
        <v>0.52200000000000002</v>
      </c>
      <c r="N134" s="3">
        <v>842</v>
      </c>
      <c r="O134" s="10">
        <v>11</v>
      </c>
      <c r="P134" s="10">
        <v>58</v>
      </c>
      <c r="Q134" s="5">
        <v>0.18965517241379309</v>
      </c>
      <c r="R134" s="5">
        <v>0.19</v>
      </c>
      <c r="S134" s="5">
        <v>0.99818399999999996</v>
      </c>
      <c r="T134" s="3">
        <v>501</v>
      </c>
      <c r="U134" s="10">
        <v>3</v>
      </c>
      <c r="V134" s="10">
        <v>58</v>
      </c>
      <c r="W134" s="5">
        <v>5.1724137931034482E-2</v>
      </c>
      <c r="X134" s="5">
        <v>0.05</v>
      </c>
      <c r="Y134" s="5">
        <v>1.0344800000000001</v>
      </c>
      <c r="Z134" s="3">
        <v>198</v>
      </c>
      <c r="AA134" s="11">
        <v>0.461538</v>
      </c>
      <c r="AB134" s="3">
        <v>1223</v>
      </c>
      <c r="AC134">
        <v>10</v>
      </c>
      <c r="AD134" s="3">
        <v>1</v>
      </c>
      <c r="AE134">
        <v>1</v>
      </c>
      <c r="AF134">
        <v>17</v>
      </c>
      <c r="AG134" s="5">
        <v>5.8823529411764705E-2</v>
      </c>
      <c r="AH134" s="5">
        <v>0.1</v>
      </c>
      <c r="AI134" s="5">
        <v>0.58823000000000003</v>
      </c>
      <c r="AJ134" s="3">
        <v>613</v>
      </c>
      <c r="AK134" s="5">
        <v>0.38888866666666666</v>
      </c>
      <c r="AL134" s="5">
        <v>0.4</v>
      </c>
      <c r="AM134" s="5">
        <v>0.97221999999999997</v>
      </c>
      <c r="AN134" s="3">
        <v>566</v>
      </c>
      <c r="AO134">
        <v>1</v>
      </c>
      <c r="AP134">
        <v>1</v>
      </c>
      <c r="AQ134" s="5">
        <v>1</v>
      </c>
      <c r="AR134" s="5">
        <v>0.8</v>
      </c>
      <c r="AS134" s="5">
        <v>1.25</v>
      </c>
      <c r="AT134" s="5">
        <v>1</v>
      </c>
    </row>
    <row r="135" spans="1:46" hidden="1">
      <c r="A135" t="str">
        <f>_xlfn.XLOOKUP(Table13[[#This Row],[SAP]],'Location List'!B:B,'Location List'!G:G)</f>
        <v>SA SOUTH</v>
      </c>
      <c r="B135" t="str">
        <f>LEFT(Table13[[#This Row],[Sap: Loaction]],4)</f>
        <v>1ESF</v>
      </c>
      <c r="C135" s="4" t="str">
        <f>_xlfn.XLOOKUP(Table13[[#This Row],[Employee]],'Location List'!M:M,'Location List'!N:N,"",0)</f>
        <v/>
      </c>
      <c r="D135" t="s">
        <v>973</v>
      </c>
      <c r="E135" t="s">
        <v>699</v>
      </c>
      <c r="F135" t="s">
        <v>568</v>
      </c>
      <c r="G135" s="3">
        <v>2</v>
      </c>
      <c r="H135" s="3">
        <v>556</v>
      </c>
      <c r="I135">
        <v>517.65</v>
      </c>
      <c r="J135" t="s">
        <v>454</v>
      </c>
      <c r="K135" s="6">
        <v>7.88</v>
      </c>
      <c r="L135" s="6">
        <v>40</v>
      </c>
      <c r="M135" s="5">
        <v>0.19700000000000001</v>
      </c>
      <c r="N135" s="3">
        <v>1064</v>
      </c>
      <c r="O135" s="10">
        <v>18</v>
      </c>
      <c r="P135" s="10">
        <v>75</v>
      </c>
      <c r="Q135" s="5">
        <v>0.24</v>
      </c>
      <c r="R135" s="5">
        <v>0.19</v>
      </c>
      <c r="S135" s="5">
        <v>1.2631570000000001</v>
      </c>
      <c r="T135" s="3">
        <v>309</v>
      </c>
      <c r="U135" s="10">
        <v>0</v>
      </c>
      <c r="V135" s="10">
        <v>75</v>
      </c>
      <c r="W135" s="5">
        <v>0</v>
      </c>
      <c r="X135" s="5">
        <v>0.05</v>
      </c>
      <c r="Y135" s="5">
        <v>0</v>
      </c>
      <c r="Z135" s="3">
        <v>994</v>
      </c>
      <c r="AA135" s="11">
        <v>1.428571</v>
      </c>
      <c r="AB135" s="3">
        <v>496</v>
      </c>
      <c r="AC135">
        <v>0</v>
      </c>
      <c r="AD135" s="3">
        <v>75</v>
      </c>
      <c r="AE135">
        <v>1</v>
      </c>
      <c r="AF135">
        <v>3</v>
      </c>
      <c r="AG135" s="5">
        <v>0.33333333333333331</v>
      </c>
      <c r="AH135" s="5">
        <v>0.1</v>
      </c>
      <c r="AI135" s="5">
        <v>3.3333300000000001</v>
      </c>
      <c r="AJ135" s="3">
        <v>113</v>
      </c>
      <c r="AK135" s="5">
        <v>0.5</v>
      </c>
      <c r="AL135" s="5">
        <v>0.4</v>
      </c>
      <c r="AM135" s="5">
        <v>1.25</v>
      </c>
      <c r="AN135" s="3">
        <v>326</v>
      </c>
      <c r="AO135">
        <v>0</v>
      </c>
      <c r="AP135">
        <v>5</v>
      </c>
      <c r="AQ135" s="5">
        <v>0</v>
      </c>
      <c r="AR135" s="5">
        <v>0.8</v>
      </c>
      <c r="AS135" s="5">
        <v>0</v>
      </c>
      <c r="AT135" s="5">
        <v>902</v>
      </c>
    </row>
    <row r="136" spans="1:46" hidden="1">
      <c r="A136" t="str">
        <f>_xlfn.XLOOKUP(Table13[[#This Row],[SAP]],'Location List'!B:B,'Location List'!G:G)</f>
        <v>WEST TEXAS</v>
      </c>
      <c r="B136" t="str">
        <f>LEFT(Table13[[#This Row],[Sap: Loaction]],4)</f>
        <v>1FSZ</v>
      </c>
      <c r="C136" s="4" t="str">
        <f>_xlfn.XLOOKUP(Table13[[#This Row],[Employee]],'Location List'!M:M,'Location List'!N:N,"",0)</f>
        <v/>
      </c>
      <c r="D136" t="s">
        <v>973</v>
      </c>
      <c r="E136" t="s">
        <v>704</v>
      </c>
      <c r="F136" t="s">
        <v>533</v>
      </c>
      <c r="G136" s="3">
        <v>2</v>
      </c>
      <c r="H136" s="3">
        <v>557</v>
      </c>
      <c r="I136">
        <v>518.15</v>
      </c>
      <c r="J136" t="s">
        <v>454</v>
      </c>
      <c r="K136" s="6">
        <v>17.670000000000002</v>
      </c>
      <c r="L136" s="6">
        <v>40.000000000000007</v>
      </c>
      <c r="M136" s="5">
        <v>0.44174999999999998</v>
      </c>
      <c r="N136" s="3">
        <v>902</v>
      </c>
      <c r="O136" s="10">
        <v>16</v>
      </c>
      <c r="P136" s="10">
        <v>127</v>
      </c>
      <c r="Q136" s="5">
        <v>0.12598425196850394</v>
      </c>
      <c r="R136" s="5">
        <v>0.19</v>
      </c>
      <c r="S136" s="5">
        <v>0.66307300000000002</v>
      </c>
      <c r="T136" s="3">
        <v>831</v>
      </c>
      <c r="U136" s="10">
        <v>0</v>
      </c>
      <c r="V136" s="10">
        <v>127</v>
      </c>
      <c r="W136" s="5">
        <v>0</v>
      </c>
      <c r="X136" s="5">
        <v>0.05</v>
      </c>
      <c r="Y136" s="5">
        <v>0</v>
      </c>
      <c r="Z136" s="3">
        <v>994</v>
      </c>
      <c r="AA136" s="11">
        <v>2.5</v>
      </c>
      <c r="AB136" s="3">
        <v>129</v>
      </c>
      <c r="AC136">
        <v>9.6</v>
      </c>
      <c r="AD136" s="3">
        <v>13</v>
      </c>
      <c r="AE136">
        <v>6</v>
      </c>
      <c r="AF136">
        <v>16</v>
      </c>
      <c r="AG136" s="5">
        <v>0.375</v>
      </c>
      <c r="AH136" s="5">
        <v>0.1</v>
      </c>
      <c r="AI136" s="5">
        <v>3.75</v>
      </c>
      <c r="AJ136" s="3">
        <v>95</v>
      </c>
      <c r="AK136" s="5">
        <v>0.5</v>
      </c>
      <c r="AL136" s="5">
        <v>0.4</v>
      </c>
      <c r="AM136" s="5">
        <v>1.25</v>
      </c>
      <c r="AN136" s="3">
        <v>326</v>
      </c>
      <c r="AO136">
        <v>8</v>
      </c>
      <c r="AP136">
        <v>9</v>
      </c>
      <c r="AQ136" s="5">
        <v>0.88888888888888884</v>
      </c>
      <c r="AR136" s="5">
        <v>0.8</v>
      </c>
      <c r="AS136" s="5">
        <v>1.11111</v>
      </c>
      <c r="AT136" s="5">
        <v>562</v>
      </c>
    </row>
    <row r="137" spans="1:46" hidden="1">
      <c r="A137" t="str">
        <f>_xlfn.XLOOKUP(Table13[[#This Row],[SAP]],'Location List'!B:B,'Location List'!G:G)</f>
        <v>MO/IA/NE</v>
      </c>
      <c r="B137" t="str">
        <f>LEFT(Table13[[#This Row],[Sap: Loaction]],4)</f>
        <v>3ISR</v>
      </c>
      <c r="C137" s="4" t="str">
        <f>_xlfn.XLOOKUP(Table13[[#This Row],[Employee]],'Location List'!M:M,'Location List'!N:N,"",0)</f>
        <v/>
      </c>
      <c r="D137" t="s">
        <v>973</v>
      </c>
      <c r="E137" t="s">
        <v>912</v>
      </c>
      <c r="F137" t="s">
        <v>493</v>
      </c>
      <c r="G137" s="3">
        <v>2</v>
      </c>
      <c r="H137" s="3">
        <v>558</v>
      </c>
      <c r="I137">
        <v>520.20000000000005</v>
      </c>
      <c r="J137" t="s">
        <v>454</v>
      </c>
      <c r="K137" s="6">
        <v>40.67</v>
      </c>
      <c r="L137" s="6">
        <v>40</v>
      </c>
      <c r="M137" s="5">
        <v>1.01675</v>
      </c>
      <c r="N137" s="3">
        <v>480</v>
      </c>
      <c r="O137" s="10">
        <v>18</v>
      </c>
      <c r="P137" s="10">
        <v>51</v>
      </c>
      <c r="Q137" s="5">
        <v>0.35294117647058826</v>
      </c>
      <c r="R137" s="5">
        <v>0.19</v>
      </c>
      <c r="S137" s="5">
        <v>1.8575839999999999</v>
      </c>
      <c r="T137" s="3">
        <v>108</v>
      </c>
      <c r="U137" s="10">
        <v>0</v>
      </c>
      <c r="V137" s="10">
        <v>51</v>
      </c>
      <c r="W137" s="5">
        <v>0</v>
      </c>
      <c r="X137" s="5">
        <v>0.05</v>
      </c>
      <c r="Y137" s="5">
        <v>0</v>
      </c>
      <c r="Z137" s="3">
        <v>994</v>
      </c>
      <c r="AA137" s="11">
        <v>1.2</v>
      </c>
      <c r="AB137" s="3">
        <v>641</v>
      </c>
      <c r="AC137">
        <v>0.66666599999999998</v>
      </c>
      <c r="AD137" s="3">
        <v>73</v>
      </c>
      <c r="AE137">
        <v>0</v>
      </c>
      <c r="AF137">
        <v>13</v>
      </c>
      <c r="AG137" s="5">
        <v>0</v>
      </c>
      <c r="AH137" s="5">
        <v>0.1</v>
      </c>
      <c r="AI137" s="5">
        <v>0</v>
      </c>
      <c r="AJ137" s="3">
        <v>696</v>
      </c>
      <c r="AK137" s="5">
        <v>0.2916665</v>
      </c>
      <c r="AL137" s="5">
        <v>0.4</v>
      </c>
      <c r="AM137" s="5">
        <v>0.72916499999999995</v>
      </c>
      <c r="AN137" s="3">
        <v>773</v>
      </c>
      <c r="AO137">
        <v>1</v>
      </c>
      <c r="AP137">
        <v>2</v>
      </c>
      <c r="AQ137" s="5">
        <v>0.5</v>
      </c>
      <c r="AR137" s="5">
        <v>0.8</v>
      </c>
      <c r="AS137" s="5">
        <v>0.625</v>
      </c>
      <c r="AT137" s="5">
        <v>741</v>
      </c>
    </row>
    <row r="138" spans="1:46" hidden="1">
      <c r="A138" t="str">
        <f>_xlfn.XLOOKUP(Table13[[#This Row],[SAP]],'Location List'!B:B,'Location List'!G:G)</f>
        <v>SA SOUTH</v>
      </c>
      <c r="B138" t="str">
        <f>LEFT(Table13[[#This Row],[Sap: Loaction]],4)</f>
        <v>584D</v>
      </c>
      <c r="C138" s="4" t="str">
        <f>_xlfn.XLOOKUP(Table13[[#This Row],[Employee]],'Location List'!M:M,'Location List'!N:N,"",0)</f>
        <v/>
      </c>
      <c r="D138" t="s">
        <v>973</v>
      </c>
      <c r="E138" t="s">
        <v>987</v>
      </c>
      <c r="F138" t="s">
        <v>579</v>
      </c>
      <c r="G138" s="3">
        <v>2</v>
      </c>
      <c r="H138" s="3">
        <v>559</v>
      </c>
      <c r="I138">
        <v>520.4</v>
      </c>
      <c r="J138" t="s">
        <v>454</v>
      </c>
      <c r="K138" s="6">
        <v>40.479999999999997</v>
      </c>
      <c r="L138" s="6">
        <v>35</v>
      </c>
      <c r="M138" s="5">
        <v>1.1565714285714286</v>
      </c>
      <c r="N138" s="3">
        <v>401</v>
      </c>
      <c r="O138" s="10">
        <v>8</v>
      </c>
      <c r="P138" s="10">
        <v>69</v>
      </c>
      <c r="Q138" s="5">
        <v>0.11594202898550725</v>
      </c>
      <c r="R138" s="5">
        <v>0.19</v>
      </c>
      <c r="S138" s="5">
        <v>0.61022100000000001</v>
      </c>
      <c r="T138" s="3">
        <v>890</v>
      </c>
      <c r="U138" s="10">
        <v>4</v>
      </c>
      <c r="V138" s="10">
        <v>69</v>
      </c>
      <c r="W138" s="5">
        <v>5.7971014492753624E-2</v>
      </c>
      <c r="X138" s="5">
        <v>0.05</v>
      </c>
      <c r="Y138" s="5">
        <v>1.1594199999999999</v>
      </c>
      <c r="Z138" s="3">
        <v>151</v>
      </c>
      <c r="AA138" s="11">
        <v>0.44444400000000001</v>
      </c>
      <c r="AB138" s="3">
        <v>1233</v>
      </c>
      <c r="AC138">
        <v>10</v>
      </c>
      <c r="AD138" s="3">
        <v>1</v>
      </c>
      <c r="AE138">
        <v>1</v>
      </c>
      <c r="AF138">
        <v>4</v>
      </c>
      <c r="AG138" s="5">
        <v>0.25</v>
      </c>
      <c r="AH138" s="5">
        <v>0.1</v>
      </c>
      <c r="AI138" s="5">
        <v>2.5</v>
      </c>
      <c r="AJ138" s="3">
        <v>191</v>
      </c>
      <c r="AK138" s="5">
        <v>0</v>
      </c>
      <c r="AL138" s="5">
        <v>0.4</v>
      </c>
      <c r="AM138" s="5">
        <v>0</v>
      </c>
      <c r="AN138" s="3">
        <v>1150</v>
      </c>
      <c r="AO138">
        <v>4</v>
      </c>
      <c r="AP138">
        <v>4</v>
      </c>
      <c r="AQ138" s="5">
        <v>1</v>
      </c>
      <c r="AR138" s="5">
        <v>0.8</v>
      </c>
      <c r="AS138" s="5">
        <v>1.25</v>
      </c>
      <c r="AT138" s="5">
        <v>1</v>
      </c>
    </row>
    <row r="139" spans="1:46" hidden="1">
      <c r="A139" t="str">
        <f>_xlfn.XLOOKUP(Table13[[#This Row],[SAP]],'Location List'!B:B,'Location List'!G:G)</f>
        <v>KS/OK</v>
      </c>
      <c r="B139" t="str">
        <f>LEFT(Table13[[#This Row],[Sap: Loaction]],4)</f>
        <v>966D</v>
      </c>
      <c r="C139" s="4" t="str">
        <f>_xlfn.XLOOKUP(Table13[[#This Row],[Employee]],'Location List'!M:M,'Location List'!N:N,"",0)</f>
        <v/>
      </c>
      <c r="D139" t="s">
        <v>973</v>
      </c>
      <c r="E139" t="s">
        <v>615</v>
      </c>
      <c r="F139" t="s">
        <v>499</v>
      </c>
      <c r="G139" s="3">
        <v>2</v>
      </c>
      <c r="H139" s="3">
        <v>561</v>
      </c>
      <c r="I139">
        <v>522.20000000000005</v>
      </c>
      <c r="J139" t="s">
        <v>454</v>
      </c>
      <c r="K139" s="6">
        <v>36.299999999999997</v>
      </c>
      <c r="L139" s="6">
        <v>40</v>
      </c>
      <c r="M139" s="5">
        <v>0.90749999999999997</v>
      </c>
      <c r="N139" s="3">
        <v>560</v>
      </c>
      <c r="O139" s="10">
        <v>16</v>
      </c>
      <c r="P139" s="10">
        <v>80</v>
      </c>
      <c r="Q139" s="5">
        <v>0.2</v>
      </c>
      <c r="R139" s="5">
        <v>0.19</v>
      </c>
      <c r="S139" s="5">
        <v>1.0526310000000001</v>
      </c>
      <c r="T139" s="3">
        <v>464</v>
      </c>
      <c r="U139" s="10">
        <v>2</v>
      </c>
      <c r="V139" s="10">
        <v>80</v>
      </c>
      <c r="W139" s="5">
        <v>2.5000000000000001E-2</v>
      </c>
      <c r="X139" s="5">
        <v>0.05</v>
      </c>
      <c r="Y139" s="5">
        <v>0.5</v>
      </c>
      <c r="Z139" s="3">
        <v>535</v>
      </c>
      <c r="AA139" s="11">
        <v>1.2222219999999999</v>
      </c>
      <c r="AB139" s="3">
        <v>627</v>
      </c>
      <c r="AC139">
        <v>8.6666659999999993</v>
      </c>
      <c r="AD139" s="3">
        <v>26</v>
      </c>
      <c r="AE139">
        <v>3</v>
      </c>
      <c r="AF139">
        <v>21</v>
      </c>
      <c r="AG139" s="5">
        <v>0.14285714285714285</v>
      </c>
      <c r="AH139" s="5">
        <v>0.1</v>
      </c>
      <c r="AI139" s="5">
        <v>1.4285699999999999</v>
      </c>
      <c r="AJ139" s="3">
        <v>368</v>
      </c>
      <c r="AK139" s="5">
        <v>0.25</v>
      </c>
      <c r="AL139" s="5">
        <v>0.4</v>
      </c>
      <c r="AM139" s="5">
        <v>0.625</v>
      </c>
      <c r="AN139" s="3">
        <v>812</v>
      </c>
      <c r="AO139">
        <v>0</v>
      </c>
      <c r="AP139">
        <v>0</v>
      </c>
      <c r="AQ139" s="5" t="s">
        <v>653</v>
      </c>
      <c r="AR139" s="5">
        <v>0.8</v>
      </c>
      <c r="AS139" s="5">
        <v>0</v>
      </c>
      <c r="AT139" s="5">
        <v>902</v>
      </c>
    </row>
    <row r="140" spans="1:46" hidden="1">
      <c r="A140" t="str">
        <f>_xlfn.XLOOKUP(Table13[[#This Row],[SAP]],'Location List'!B:B,'Location List'!G:G)</f>
        <v>SA SOUTH</v>
      </c>
      <c r="B140" t="str">
        <f>LEFT(Table13[[#This Row],[Sap: Loaction]],4)</f>
        <v>1627</v>
      </c>
      <c r="C140" s="4" t="str">
        <f>_xlfn.XLOOKUP(Table13[[#This Row],[Employee]],'Location List'!M:M,'Location List'!N:N,"",0)</f>
        <v/>
      </c>
      <c r="D140" t="s">
        <v>973</v>
      </c>
      <c r="E140" t="s">
        <v>636</v>
      </c>
      <c r="F140" t="s">
        <v>497</v>
      </c>
      <c r="G140" s="3">
        <v>2</v>
      </c>
      <c r="H140" s="3">
        <v>562</v>
      </c>
      <c r="I140">
        <v>522.54999999999995</v>
      </c>
      <c r="J140" t="s">
        <v>454</v>
      </c>
      <c r="K140" s="6">
        <v>47.16</v>
      </c>
      <c r="L140" s="6">
        <v>39.999999999999993</v>
      </c>
      <c r="M140" s="5">
        <v>1.179</v>
      </c>
      <c r="N140" s="3">
        <v>379</v>
      </c>
      <c r="O140" s="10">
        <v>15</v>
      </c>
      <c r="P140" s="10">
        <v>90</v>
      </c>
      <c r="Q140" s="5">
        <v>0.16666666666666666</v>
      </c>
      <c r="R140" s="5">
        <v>0.19</v>
      </c>
      <c r="S140" s="5">
        <v>0.877189</v>
      </c>
      <c r="T140" s="3">
        <v>606</v>
      </c>
      <c r="U140" s="10">
        <v>1</v>
      </c>
      <c r="V140" s="10">
        <v>90</v>
      </c>
      <c r="W140" s="5">
        <v>1.1111111111111112E-2</v>
      </c>
      <c r="X140" s="5">
        <v>0.05</v>
      </c>
      <c r="Y140" s="5">
        <v>0.22222</v>
      </c>
      <c r="Z140" s="3">
        <v>907</v>
      </c>
      <c r="AA140" s="11">
        <v>2.1333329999999999</v>
      </c>
      <c r="AB140" s="3">
        <v>199</v>
      </c>
      <c r="AC140">
        <v>10</v>
      </c>
      <c r="AD140" s="3">
        <v>1</v>
      </c>
      <c r="AE140">
        <v>2</v>
      </c>
      <c r="AF140">
        <v>14</v>
      </c>
      <c r="AG140" s="5">
        <v>0.14285714285714285</v>
      </c>
      <c r="AH140" s="5">
        <v>0.1</v>
      </c>
      <c r="AI140" s="5">
        <v>1.4285699999999999</v>
      </c>
      <c r="AJ140" s="3">
        <v>368</v>
      </c>
      <c r="AK140" s="5">
        <v>0.1666666</v>
      </c>
      <c r="AL140" s="5">
        <v>0.4</v>
      </c>
      <c r="AM140" s="5">
        <v>0.59523700000000002</v>
      </c>
      <c r="AN140" s="3">
        <v>884</v>
      </c>
      <c r="AO140">
        <v>0</v>
      </c>
      <c r="AP140">
        <v>0</v>
      </c>
      <c r="AQ140" s="5" t="s">
        <v>653</v>
      </c>
      <c r="AR140" s="5">
        <v>0.8</v>
      </c>
      <c r="AS140" s="5">
        <v>0</v>
      </c>
      <c r="AT140" s="5">
        <v>902</v>
      </c>
    </row>
    <row r="141" spans="1:46" hidden="1">
      <c r="A141" t="str">
        <f>_xlfn.XLOOKUP(Table13[[#This Row],[SAP]],'Location List'!B:B,'Location List'!G:G)</f>
        <v>KS/OK</v>
      </c>
      <c r="B141" t="str">
        <f>LEFT(Table13[[#This Row],[Sap: Loaction]],4)</f>
        <v>114E</v>
      </c>
      <c r="C141" s="4" t="str">
        <f>_xlfn.XLOOKUP(Table13[[#This Row],[Employee]],'Location List'!M:M,'Location List'!N:N,"",0)</f>
        <v/>
      </c>
      <c r="D141" t="s">
        <v>973</v>
      </c>
      <c r="E141" t="s">
        <v>757</v>
      </c>
      <c r="F141" t="s">
        <v>571</v>
      </c>
      <c r="G141" s="3">
        <v>2</v>
      </c>
      <c r="H141" s="3">
        <v>566</v>
      </c>
      <c r="I141">
        <v>523.85</v>
      </c>
      <c r="J141" t="s">
        <v>454</v>
      </c>
      <c r="K141" s="6">
        <v>33.76</v>
      </c>
      <c r="L141" s="6">
        <v>35</v>
      </c>
      <c r="M141" s="5">
        <v>0.96457142857142852</v>
      </c>
      <c r="N141" s="3">
        <v>518</v>
      </c>
      <c r="O141" s="10">
        <v>8</v>
      </c>
      <c r="P141" s="10">
        <v>88</v>
      </c>
      <c r="Q141" s="5">
        <v>9.0909090909090912E-2</v>
      </c>
      <c r="R141" s="5">
        <v>0.19</v>
      </c>
      <c r="S141" s="5">
        <v>0.478468</v>
      </c>
      <c r="T141" s="3">
        <v>1035</v>
      </c>
      <c r="U141" s="10">
        <v>2</v>
      </c>
      <c r="V141" s="10">
        <v>88</v>
      </c>
      <c r="W141" s="5">
        <v>2.2727272727272728E-2</v>
      </c>
      <c r="X141" s="5">
        <v>0.05</v>
      </c>
      <c r="Y141" s="5">
        <v>0.45454</v>
      </c>
      <c r="Z141" s="3">
        <v>587</v>
      </c>
      <c r="AA141" s="11">
        <v>0.83333299999999999</v>
      </c>
      <c r="AB141" s="3">
        <v>924</v>
      </c>
      <c r="AC141">
        <v>0</v>
      </c>
      <c r="AD141" s="3">
        <v>75</v>
      </c>
      <c r="AE141">
        <v>1</v>
      </c>
      <c r="AF141">
        <v>6</v>
      </c>
      <c r="AG141" s="5">
        <v>0.16666666666666666</v>
      </c>
      <c r="AH141" s="5">
        <v>0.1</v>
      </c>
      <c r="AI141" s="5">
        <v>1.66666</v>
      </c>
      <c r="AJ141" s="3">
        <v>319</v>
      </c>
      <c r="AK141" s="5">
        <v>0.5</v>
      </c>
      <c r="AL141" s="5">
        <v>0.4</v>
      </c>
      <c r="AM141" s="5">
        <v>1.25</v>
      </c>
      <c r="AN141" s="3">
        <v>326</v>
      </c>
      <c r="AO141">
        <v>4</v>
      </c>
      <c r="AP141">
        <v>4</v>
      </c>
      <c r="AQ141" s="5">
        <v>1</v>
      </c>
      <c r="AR141" s="5">
        <v>0.8</v>
      </c>
      <c r="AS141" s="5">
        <v>1.25</v>
      </c>
      <c r="AT141" s="5">
        <v>1</v>
      </c>
    </row>
    <row r="142" spans="1:46" hidden="1">
      <c r="A142" t="str">
        <f>_xlfn.XLOOKUP(Table13[[#This Row],[SAP]],'Location List'!B:B,'Location List'!G:G)</f>
        <v>SOUTH TX/RGV</v>
      </c>
      <c r="B142" t="str">
        <f>LEFT(Table13[[#This Row],[Sap: Loaction]],4)</f>
        <v>200E</v>
      </c>
      <c r="C142" s="4" t="str">
        <f>_xlfn.XLOOKUP(Table13[[#This Row],[Employee]],'Location List'!M:M,'Location List'!N:N,"",0)</f>
        <v>RSM</v>
      </c>
      <c r="D142" t="s">
        <v>973</v>
      </c>
      <c r="E142" t="s">
        <v>892</v>
      </c>
      <c r="F142" t="s">
        <v>543</v>
      </c>
      <c r="G142" s="3">
        <v>2</v>
      </c>
      <c r="H142" s="3">
        <v>569</v>
      </c>
      <c r="I142">
        <v>525.04999999999995</v>
      </c>
      <c r="J142" t="s">
        <v>454</v>
      </c>
      <c r="K142" s="6">
        <v>53.99</v>
      </c>
      <c r="L142" s="6">
        <v>40</v>
      </c>
      <c r="M142" s="5">
        <v>1.34975</v>
      </c>
      <c r="N142" s="3">
        <v>301</v>
      </c>
      <c r="O142" s="10">
        <v>20</v>
      </c>
      <c r="P142" s="10">
        <v>120</v>
      </c>
      <c r="Q142" s="5">
        <v>0.16666666666666666</v>
      </c>
      <c r="R142" s="5">
        <v>0.19</v>
      </c>
      <c r="S142" s="5">
        <v>0.877189</v>
      </c>
      <c r="T142" s="3">
        <v>606</v>
      </c>
      <c r="U142" s="10">
        <v>3</v>
      </c>
      <c r="V142" s="10">
        <v>120</v>
      </c>
      <c r="W142" s="5">
        <v>2.5000000000000001E-2</v>
      </c>
      <c r="X142" s="5">
        <v>0.05</v>
      </c>
      <c r="Y142" s="5">
        <v>0.5</v>
      </c>
      <c r="Z142" s="3">
        <v>535</v>
      </c>
      <c r="AA142" s="11">
        <v>0.75</v>
      </c>
      <c r="AB142" s="3">
        <v>992</v>
      </c>
      <c r="AC142">
        <v>8.7142850000000003</v>
      </c>
      <c r="AD142" s="3">
        <v>25</v>
      </c>
      <c r="AE142">
        <v>0</v>
      </c>
      <c r="AF142">
        <v>23</v>
      </c>
      <c r="AG142" s="5">
        <v>0</v>
      </c>
      <c r="AH142" s="5">
        <v>0.1</v>
      </c>
      <c r="AI142" s="5">
        <v>0</v>
      </c>
      <c r="AJ142" s="3">
        <v>696</v>
      </c>
      <c r="AK142" s="5">
        <v>0.53703699999999999</v>
      </c>
      <c r="AL142" s="5">
        <v>0.4</v>
      </c>
      <c r="AM142" s="5">
        <v>1.342592</v>
      </c>
      <c r="AN142" s="3">
        <v>311</v>
      </c>
      <c r="AO142">
        <v>7</v>
      </c>
      <c r="AP142">
        <v>10</v>
      </c>
      <c r="AQ142" s="5">
        <v>0.7</v>
      </c>
      <c r="AR142" s="5">
        <v>0.8</v>
      </c>
      <c r="AS142" s="5">
        <v>0.875</v>
      </c>
      <c r="AT142" s="5">
        <v>680</v>
      </c>
    </row>
    <row r="143" spans="1:46" hidden="1">
      <c r="A143" t="str">
        <f>_xlfn.XLOOKUP(Table13[[#This Row],[SAP]],'Location List'!B:B,'Location List'!G:G)</f>
        <v>DFW EAST</v>
      </c>
      <c r="B143" t="str">
        <f>LEFT(Table13[[#This Row],[Sap: Loaction]],4)</f>
        <v>5564</v>
      </c>
      <c r="C143" s="4" t="str">
        <f>_xlfn.XLOOKUP(Table13[[#This Row],[Employee]],'Location List'!M:M,'Location List'!N:N,"",0)</f>
        <v/>
      </c>
      <c r="D143" t="s">
        <v>973</v>
      </c>
      <c r="E143" t="s">
        <v>888</v>
      </c>
      <c r="F143" t="s">
        <v>542</v>
      </c>
      <c r="G143" s="3">
        <v>2</v>
      </c>
      <c r="H143" s="3">
        <v>570</v>
      </c>
      <c r="I143">
        <v>526.1</v>
      </c>
      <c r="J143" t="s">
        <v>454</v>
      </c>
      <c r="K143" s="6">
        <v>17.68</v>
      </c>
      <c r="L143" s="6">
        <v>35</v>
      </c>
      <c r="M143" s="5">
        <v>0.50514285714285712</v>
      </c>
      <c r="N143" s="3">
        <v>852</v>
      </c>
      <c r="O143" s="10">
        <v>8</v>
      </c>
      <c r="P143" s="10">
        <v>70</v>
      </c>
      <c r="Q143" s="5">
        <v>0.11428571428571428</v>
      </c>
      <c r="R143" s="5">
        <v>0.19</v>
      </c>
      <c r="S143" s="5">
        <v>0.60150000000000003</v>
      </c>
      <c r="T143" s="3">
        <v>897</v>
      </c>
      <c r="U143" s="10">
        <v>4</v>
      </c>
      <c r="V143" s="10">
        <v>70</v>
      </c>
      <c r="W143" s="5">
        <v>5.7142857142857141E-2</v>
      </c>
      <c r="X143" s="5">
        <v>0.05</v>
      </c>
      <c r="Y143" s="5">
        <v>1.1428400000000001</v>
      </c>
      <c r="Z143" s="3">
        <v>155</v>
      </c>
      <c r="AA143" s="11">
        <v>1.666666</v>
      </c>
      <c r="AB143" s="3">
        <v>357</v>
      </c>
      <c r="AC143">
        <v>10</v>
      </c>
      <c r="AD143" s="3">
        <v>1</v>
      </c>
      <c r="AE143">
        <v>0</v>
      </c>
      <c r="AF143">
        <v>15</v>
      </c>
      <c r="AG143" s="5">
        <v>0</v>
      </c>
      <c r="AH143" s="5">
        <v>0.1</v>
      </c>
      <c r="AI143" s="5">
        <v>0</v>
      </c>
      <c r="AJ143" s="3">
        <v>696</v>
      </c>
      <c r="AK143" s="5">
        <v>0.33333299999999999</v>
      </c>
      <c r="AL143" s="5">
        <v>0.4</v>
      </c>
      <c r="AM143" s="5">
        <v>0.83333199999999996</v>
      </c>
      <c r="AN143" s="3">
        <v>631</v>
      </c>
      <c r="AO143">
        <v>2</v>
      </c>
      <c r="AP143">
        <v>2</v>
      </c>
      <c r="AQ143" s="5">
        <v>1</v>
      </c>
      <c r="AR143" s="5">
        <v>0.8</v>
      </c>
      <c r="AS143" s="5">
        <v>1.25</v>
      </c>
      <c r="AT143" s="5">
        <v>1</v>
      </c>
    </row>
    <row r="144" spans="1:46" hidden="1">
      <c r="A144" t="str">
        <f>_xlfn.XLOOKUP(Table13[[#This Row],[SAP]],'Location List'!B:B,'Location List'!G:G)</f>
        <v>MO/IA/NE</v>
      </c>
      <c r="B144" t="str">
        <f>LEFT(Table13[[#This Row],[Sap: Loaction]],4)</f>
        <v>4ASN</v>
      </c>
      <c r="C144" s="4" t="str">
        <f>_xlfn.XLOOKUP(Table13[[#This Row],[Employee]],'Location List'!M:M,'Location List'!N:N,"",0)</f>
        <v/>
      </c>
      <c r="D144" t="s">
        <v>973</v>
      </c>
      <c r="E144" t="s">
        <v>725</v>
      </c>
      <c r="F144" t="s">
        <v>544</v>
      </c>
      <c r="G144" s="3">
        <v>2</v>
      </c>
      <c r="H144" s="3">
        <v>573</v>
      </c>
      <c r="I144">
        <v>526.65</v>
      </c>
      <c r="J144" t="s">
        <v>454</v>
      </c>
      <c r="K144" s="6">
        <v>85.74</v>
      </c>
      <c r="L144" s="6">
        <v>40</v>
      </c>
      <c r="M144" s="5">
        <v>2.1435</v>
      </c>
      <c r="N144" s="3">
        <v>71</v>
      </c>
      <c r="O144" s="10">
        <v>14</v>
      </c>
      <c r="P144" s="10">
        <v>59</v>
      </c>
      <c r="Q144" s="5">
        <v>0.23728813559322035</v>
      </c>
      <c r="R144" s="5">
        <v>0.19</v>
      </c>
      <c r="S144" s="5">
        <v>1.2488840000000001</v>
      </c>
      <c r="T144" s="3">
        <v>320</v>
      </c>
      <c r="U144" s="10">
        <v>1</v>
      </c>
      <c r="V144" s="10">
        <v>59</v>
      </c>
      <c r="W144" s="5">
        <v>1.6949152542372881E-2</v>
      </c>
      <c r="X144" s="5">
        <v>0.05</v>
      </c>
      <c r="Y144" s="5">
        <v>0.33898</v>
      </c>
      <c r="Z144" s="3">
        <v>746</v>
      </c>
      <c r="AA144" s="11">
        <v>0.375</v>
      </c>
      <c r="AB144" s="3">
        <v>1272</v>
      </c>
      <c r="AC144">
        <v>0</v>
      </c>
      <c r="AD144" s="3">
        <v>75</v>
      </c>
      <c r="AE144">
        <v>0</v>
      </c>
      <c r="AF144">
        <v>6</v>
      </c>
      <c r="AG144" s="5">
        <v>0</v>
      </c>
      <c r="AH144" s="5">
        <v>0.1</v>
      </c>
      <c r="AI144" s="5">
        <v>0</v>
      </c>
      <c r="AJ144" s="3">
        <v>696</v>
      </c>
      <c r="AK144" s="5">
        <v>0.26666666666666666</v>
      </c>
      <c r="AL144" s="5">
        <v>0.4</v>
      </c>
      <c r="AM144" s="5">
        <v>0.66666499999999995</v>
      </c>
      <c r="AN144" s="3">
        <v>800</v>
      </c>
      <c r="AO144">
        <v>6</v>
      </c>
      <c r="AP144">
        <v>7</v>
      </c>
      <c r="AQ144" s="5">
        <v>0.8571428571428571</v>
      </c>
      <c r="AR144" s="5">
        <v>0.8</v>
      </c>
      <c r="AS144" s="5">
        <v>1.0714269999999999</v>
      </c>
      <c r="AT144" s="5">
        <v>583</v>
      </c>
    </row>
    <row r="145" spans="1:46" hidden="1">
      <c r="A145" t="str">
        <f>_xlfn.XLOOKUP(Table13[[#This Row],[SAP]],'Location List'!B:B,'Location List'!G:G)</f>
        <v>CENTRAL TEXAS</v>
      </c>
      <c r="B145" t="str">
        <f>LEFT(Table13[[#This Row],[Sap: Loaction]],4)</f>
        <v>1FSC</v>
      </c>
      <c r="C145" s="4" t="str">
        <f>_xlfn.XLOOKUP(Table13[[#This Row],[Employee]],'Location List'!M:M,'Location List'!N:N,"",0)</f>
        <v/>
      </c>
      <c r="D145" t="s">
        <v>973</v>
      </c>
      <c r="E145" t="s">
        <v>747</v>
      </c>
      <c r="F145" t="s">
        <v>524</v>
      </c>
      <c r="G145" s="3">
        <v>3</v>
      </c>
      <c r="H145" s="3">
        <v>587</v>
      </c>
      <c r="I145">
        <v>530.6</v>
      </c>
      <c r="J145" t="s">
        <v>454</v>
      </c>
      <c r="K145" s="6">
        <v>28.36</v>
      </c>
      <c r="L145" s="6">
        <v>40</v>
      </c>
      <c r="M145" s="5">
        <v>0.70899999999999996</v>
      </c>
      <c r="N145" s="3">
        <v>705</v>
      </c>
      <c r="O145" s="10">
        <v>12</v>
      </c>
      <c r="P145" s="10">
        <v>68</v>
      </c>
      <c r="Q145" s="5">
        <v>0.17647058823529413</v>
      </c>
      <c r="R145" s="5">
        <v>0.19</v>
      </c>
      <c r="S145" s="5">
        <v>0.92878899999999998</v>
      </c>
      <c r="T145" s="3">
        <v>553</v>
      </c>
      <c r="U145" s="10">
        <v>2</v>
      </c>
      <c r="V145" s="10">
        <v>68</v>
      </c>
      <c r="W145" s="5">
        <v>2.9411764705882353E-2</v>
      </c>
      <c r="X145" s="5">
        <v>0.05</v>
      </c>
      <c r="Y145" s="5">
        <v>0.58821999999999997</v>
      </c>
      <c r="Z145" s="3">
        <v>465</v>
      </c>
      <c r="AA145" s="11">
        <v>0.72727200000000003</v>
      </c>
      <c r="AB145" s="3">
        <v>1024</v>
      </c>
      <c r="AC145">
        <v>10</v>
      </c>
      <c r="AD145" s="3">
        <v>1</v>
      </c>
      <c r="AE145">
        <v>1</v>
      </c>
      <c r="AF145">
        <v>16</v>
      </c>
      <c r="AG145" s="5">
        <v>6.25E-2</v>
      </c>
      <c r="AH145" s="5">
        <v>0.1</v>
      </c>
      <c r="AI145" s="5">
        <v>0.625</v>
      </c>
      <c r="AJ145" s="3">
        <v>605</v>
      </c>
      <c r="AK145" s="5">
        <v>0.3125</v>
      </c>
      <c r="AL145" s="5">
        <v>0.4</v>
      </c>
      <c r="AM145" s="5">
        <v>0.78125</v>
      </c>
      <c r="AN145" s="3">
        <v>744</v>
      </c>
      <c r="AO145">
        <v>1</v>
      </c>
      <c r="AP145">
        <v>1</v>
      </c>
      <c r="AQ145" s="5">
        <v>1</v>
      </c>
      <c r="AR145" s="5">
        <v>0.8</v>
      </c>
      <c r="AS145" s="5">
        <v>1.25</v>
      </c>
      <c r="AT145" s="5">
        <v>1</v>
      </c>
    </row>
    <row r="146" spans="1:46">
      <c r="A146" t="str">
        <f>_xlfn.XLOOKUP(Table13[[#This Row],[SAP]],'Location List'!B:B,'Location List'!G:G)</f>
        <v>DFW NORTH</v>
      </c>
      <c r="B146" t="str">
        <f>LEFT(Table13[[#This Row],[Sap: Loaction]],4)</f>
        <v>924C</v>
      </c>
      <c r="C146" s="4" t="str">
        <f>_xlfn.XLOOKUP(Table13[[#This Row],[Employee]],'Location List'!M:M,'Location List'!N:N,"",0)</f>
        <v/>
      </c>
      <c r="D146" t="s">
        <v>973</v>
      </c>
      <c r="E146" t="s">
        <v>832</v>
      </c>
      <c r="F146" t="s">
        <v>559</v>
      </c>
      <c r="G146" s="3">
        <v>3</v>
      </c>
      <c r="H146" s="3">
        <v>588</v>
      </c>
      <c r="I146">
        <v>531.65</v>
      </c>
      <c r="J146" t="s">
        <v>454</v>
      </c>
      <c r="K146" s="6">
        <v>40.56</v>
      </c>
      <c r="L146" s="6">
        <v>40</v>
      </c>
      <c r="M146" s="5">
        <v>1.014</v>
      </c>
      <c r="N146" s="3">
        <v>481</v>
      </c>
      <c r="O146" s="10">
        <v>7</v>
      </c>
      <c r="P146" s="10">
        <v>79</v>
      </c>
      <c r="Q146" s="5">
        <v>8.8607594936708861E-2</v>
      </c>
      <c r="R146" s="5">
        <v>0.19</v>
      </c>
      <c r="S146" s="5">
        <v>0.46635199999999999</v>
      </c>
      <c r="T146" s="3">
        <v>1054</v>
      </c>
      <c r="U146" s="10">
        <v>1</v>
      </c>
      <c r="V146" s="10">
        <v>79</v>
      </c>
      <c r="W146" s="5">
        <v>1.2658227848101266E-2</v>
      </c>
      <c r="X146" s="5">
        <v>0.05</v>
      </c>
      <c r="Y146" s="5">
        <v>0.25316</v>
      </c>
      <c r="Z146" s="3">
        <v>866</v>
      </c>
      <c r="AA146" s="11">
        <v>1</v>
      </c>
      <c r="AB146" s="3">
        <v>741</v>
      </c>
      <c r="AC146">
        <v>10</v>
      </c>
      <c r="AD146" s="3">
        <v>1</v>
      </c>
      <c r="AE146">
        <v>1</v>
      </c>
      <c r="AF146">
        <v>7</v>
      </c>
      <c r="AG146" s="5">
        <v>0.14285714285714285</v>
      </c>
      <c r="AH146" s="5">
        <v>0.1</v>
      </c>
      <c r="AI146" s="5">
        <v>1.4285699999999999</v>
      </c>
      <c r="AJ146" s="3">
        <v>368</v>
      </c>
      <c r="AK146" s="5">
        <v>0.5</v>
      </c>
      <c r="AL146" s="5">
        <v>0.4</v>
      </c>
      <c r="AM146" s="5">
        <v>1.25</v>
      </c>
      <c r="AN146" s="3">
        <v>326</v>
      </c>
      <c r="AO146">
        <v>4</v>
      </c>
      <c r="AP146">
        <v>4</v>
      </c>
      <c r="AQ146" s="5">
        <v>1</v>
      </c>
      <c r="AR146" s="5">
        <v>0.8</v>
      </c>
      <c r="AS146" s="5">
        <v>1.25</v>
      </c>
      <c r="AT146" s="5">
        <v>1</v>
      </c>
    </row>
    <row r="147" spans="1:46" hidden="1">
      <c r="A147" t="str">
        <f>_xlfn.XLOOKUP(Table13[[#This Row],[SAP]],'Location List'!B:B,'Location List'!G:G)</f>
        <v>WEST TEXAS</v>
      </c>
      <c r="B147" t="str">
        <f>LEFT(Table13[[#This Row],[Sap: Loaction]],4)</f>
        <v>705D</v>
      </c>
      <c r="C147" s="4" t="str">
        <f>_xlfn.XLOOKUP(Table13[[#This Row],[Employee]],'Location List'!M:M,'Location List'!N:N,"",0)</f>
        <v/>
      </c>
      <c r="D147" t="s">
        <v>973</v>
      </c>
      <c r="E147" t="s">
        <v>659</v>
      </c>
      <c r="F147" t="s">
        <v>518</v>
      </c>
      <c r="G147" s="3">
        <v>3</v>
      </c>
      <c r="H147" s="3">
        <v>590</v>
      </c>
      <c r="I147">
        <v>532.9</v>
      </c>
      <c r="J147" t="s">
        <v>454</v>
      </c>
      <c r="K147" s="6">
        <v>-26.19</v>
      </c>
      <c r="L147" s="6">
        <v>40</v>
      </c>
      <c r="M147" s="5">
        <v>-0.65475000000000005</v>
      </c>
      <c r="N147" s="3">
        <v>1412</v>
      </c>
      <c r="O147" s="10">
        <v>21</v>
      </c>
      <c r="P147" s="10">
        <v>95</v>
      </c>
      <c r="Q147" s="5">
        <v>0.22105263157894736</v>
      </c>
      <c r="R147" s="5">
        <v>0.19</v>
      </c>
      <c r="S147" s="5">
        <v>1.1634310000000001</v>
      </c>
      <c r="T147" s="3">
        <v>388</v>
      </c>
      <c r="U147" s="10">
        <v>4</v>
      </c>
      <c r="V147" s="10">
        <v>95</v>
      </c>
      <c r="W147" s="5">
        <v>4.2105263157894736E-2</v>
      </c>
      <c r="X147" s="5">
        <v>0.05</v>
      </c>
      <c r="Y147" s="5">
        <v>0.84209999999999996</v>
      </c>
      <c r="Z147" s="3">
        <v>306</v>
      </c>
      <c r="AA147" s="11">
        <v>0.76922999999999997</v>
      </c>
      <c r="AB147" s="3">
        <v>983</v>
      </c>
      <c r="AC147">
        <v>5</v>
      </c>
      <c r="AD147" s="3">
        <v>62</v>
      </c>
      <c r="AE147">
        <v>3</v>
      </c>
      <c r="AF147">
        <v>11</v>
      </c>
      <c r="AG147" s="5">
        <v>0.27272727272727271</v>
      </c>
      <c r="AH147" s="5">
        <v>0.1</v>
      </c>
      <c r="AI147" s="5">
        <v>2.7272699999999999</v>
      </c>
      <c r="AJ147" s="3">
        <v>182</v>
      </c>
      <c r="AK147" s="5">
        <v>0.2575756666666667</v>
      </c>
      <c r="AL147" s="5">
        <v>0.4</v>
      </c>
      <c r="AM147" s="5">
        <v>0.64393699999999998</v>
      </c>
      <c r="AN147" s="3">
        <v>810</v>
      </c>
      <c r="AO147">
        <v>8</v>
      </c>
      <c r="AP147">
        <v>8</v>
      </c>
      <c r="AQ147" s="5">
        <v>1</v>
      </c>
      <c r="AR147" s="5">
        <v>0.8</v>
      </c>
      <c r="AS147" s="5">
        <v>1.25</v>
      </c>
      <c r="AT147" s="5">
        <v>1</v>
      </c>
    </row>
    <row r="148" spans="1:46" hidden="1">
      <c r="A148" t="str">
        <f>_xlfn.XLOOKUP(Table13[[#This Row],[SAP]],'Location List'!B:B,'Location List'!G:G)</f>
        <v>DFW NORTH</v>
      </c>
      <c r="B148" t="str">
        <f>LEFT(Table13[[#This Row],[Sap: Loaction]],4)</f>
        <v>1CSM</v>
      </c>
      <c r="C148" s="4" t="str">
        <f>_xlfn.XLOOKUP(Table13[[#This Row],[Employee]],'Location List'!M:M,'Location List'!N:N,"",0)</f>
        <v>RSM</v>
      </c>
      <c r="D148" t="s">
        <v>973</v>
      </c>
      <c r="E148" t="s">
        <v>606</v>
      </c>
      <c r="F148" t="s">
        <v>510</v>
      </c>
      <c r="G148" s="3">
        <v>3</v>
      </c>
      <c r="H148" s="3">
        <v>592</v>
      </c>
      <c r="I148">
        <v>533.9</v>
      </c>
      <c r="J148" t="s">
        <v>454</v>
      </c>
      <c r="K148" s="6">
        <v>30.78</v>
      </c>
      <c r="L148" s="6">
        <v>35</v>
      </c>
      <c r="M148" s="5">
        <v>0.87942857142857145</v>
      </c>
      <c r="N148" s="3">
        <v>580</v>
      </c>
      <c r="O148" s="10">
        <v>8</v>
      </c>
      <c r="P148" s="10">
        <v>82</v>
      </c>
      <c r="Q148" s="5">
        <v>9.7560975609756101E-2</v>
      </c>
      <c r="R148" s="5">
        <v>0.19</v>
      </c>
      <c r="S148" s="5">
        <v>0.51347299999999996</v>
      </c>
      <c r="T148" s="3">
        <v>1003</v>
      </c>
      <c r="U148" s="10">
        <v>5</v>
      </c>
      <c r="V148" s="10">
        <v>82</v>
      </c>
      <c r="W148" s="5">
        <v>6.097560975609756E-2</v>
      </c>
      <c r="X148" s="5">
        <v>0.05</v>
      </c>
      <c r="Y148" s="5">
        <v>1.2195</v>
      </c>
      <c r="Z148" s="3">
        <v>128</v>
      </c>
      <c r="AA148" s="11">
        <v>0.61538400000000004</v>
      </c>
      <c r="AB148" s="3">
        <v>1115</v>
      </c>
      <c r="AC148">
        <v>10</v>
      </c>
      <c r="AD148" s="3">
        <v>1</v>
      </c>
      <c r="AE148">
        <v>1</v>
      </c>
      <c r="AF148">
        <v>20</v>
      </c>
      <c r="AG148" s="5">
        <v>0.05</v>
      </c>
      <c r="AH148" s="5">
        <v>0.1</v>
      </c>
      <c r="AI148" s="5">
        <v>0.5</v>
      </c>
      <c r="AJ148" s="3">
        <v>640</v>
      </c>
      <c r="AK148" s="5">
        <v>0.58333333333333337</v>
      </c>
      <c r="AL148" s="5">
        <v>0.4</v>
      </c>
      <c r="AM148" s="5">
        <v>1.458332</v>
      </c>
      <c r="AN148" s="3">
        <v>258</v>
      </c>
      <c r="AO148">
        <v>2</v>
      </c>
      <c r="AP148">
        <v>2</v>
      </c>
      <c r="AQ148" s="5">
        <v>1</v>
      </c>
      <c r="AR148" s="5">
        <v>0.8</v>
      </c>
      <c r="AS148" s="5">
        <v>1.25</v>
      </c>
      <c r="AT148" s="5">
        <v>1</v>
      </c>
    </row>
    <row r="149" spans="1:46" hidden="1">
      <c r="A149" t="str">
        <f>_xlfn.XLOOKUP(Table13[[#This Row],[SAP]],'Location List'!B:B,'Location List'!G:G)</f>
        <v>WEST TEXAS</v>
      </c>
      <c r="B149" t="str">
        <f>LEFT(Table13[[#This Row],[Sap: Loaction]],4)</f>
        <v>922E</v>
      </c>
      <c r="C149" s="4" t="str">
        <f>_xlfn.XLOOKUP(Table13[[#This Row],[Employee]],'Location List'!M:M,'Location List'!N:N,"",0)</f>
        <v/>
      </c>
      <c r="D149" t="s">
        <v>973</v>
      </c>
      <c r="E149" t="s">
        <v>990</v>
      </c>
      <c r="F149" t="s">
        <v>555</v>
      </c>
      <c r="G149" s="3">
        <v>3</v>
      </c>
      <c r="H149" s="3">
        <v>596</v>
      </c>
      <c r="I149">
        <v>536.9</v>
      </c>
      <c r="J149" t="s">
        <v>454</v>
      </c>
      <c r="K149" s="6">
        <v>100.39</v>
      </c>
      <c r="L149" s="6">
        <v>40</v>
      </c>
      <c r="M149" s="5">
        <v>2.5097499999999999</v>
      </c>
      <c r="N149" s="3">
        <v>28</v>
      </c>
      <c r="O149" s="10">
        <v>21</v>
      </c>
      <c r="P149" s="10">
        <v>129</v>
      </c>
      <c r="Q149" s="5">
        <v>0.16279069767441862</v>
      </c>
      <c r="R149" s="5">
        <v>0.19</v>
      </c>
      <c r="S149" s="5">
        <v>0.85678900000000002</v>
      </c>
      <c r="T149" s="3">
        <v>629</v>
      </c>
      <c r="U149" s="10">
        <v>2</v>
      </c>
      <c r="V149" s="10">
        <v>129</v>
      </c>
      <c r="W149" s="5">
        <v>1.5503875968992248E-2</v>
      </c>
      <c r="X149" s="5">
        <v>0.05</v>
      </c>
      <c r="Y149" s="5">
        <v>0.31006</v>
      </c>
      <c r="Z149" s="3">
        <v>798</v>
      </c>
      <c r="AA149" s="11">
        <v>0.83333299999999999</v>
      </c>
      <c r="AB149" s="3">
        <v>924</v>
      </c>
      <c r="AC149">
        <v>5</v>
      </c>
      <c r="AD149" s="3">
        <v>62</v>
      </c>
      <c r="AE149">
        <v>0</v>
      </c>
      <c r="AF149">
        <v>16</v>
      </c>
      <c r="AG149" s="5">
        <v>0</v>
      </c>
      <c r="AH149" s="5">
        <v>0.1</v>
      </c>
      <c r="AI149" s="5">
        <v>0</v>
      </c>
      <c r="AJ149" s="3">
        <v>696</v>
      </c>
      <c r="AK149" s="5">
        <v>0.44444433333333339</v>
      </c>
      <c r="AL149" s="5">
        <v>0.4</v>
      </c>
      <c r="AM149" s="5">
        <v>1.11111</v>
      </c>
      <c r="AN149" s="3">
        <v>500</v>
      </c>
      <c r="AO149">
        <v>1</v>
      </c>
      <c r="AP149">
        <v>2</v>
      </c>
      <c r="AQ149" s="5">
        <v>0.5</v>
      </c>
      <c r="AR149" s="5">
        <v>0.8</v>
      </c>
      <c r="AS149" s="5">
        <v>0.625</v>
      </c>
      <c r="AT149" s="5">
        <v>741</v>
      </c>
    </row>
    <row r="150" spans="1:46" hidden="1">
      <c r="A150" t="str">
        <f>_xlfn.XLOOKUP(Table13[[#This Row],[SAP]],'Location List'!B:B,'Location List'!G:G)</f>
        <v>SA/HILL COUNTRY</v>
      </c>
      <c r="B150" t="str">
        <f>LEFT(Table13[[#This Row],[Sap: Loaction]],4)</f>
        <v>767D</v>
      </c>
      <c r="C150" s="4" t="str">
        <f>_xlfn.XLOOKUP(Table13[[#This Row],[Employee]],'Location List'!M:M,'Location List'!N:N,"",0)</f>
        <v/>
      </c>
      <c r="D150" t="s">
        <v>973</v>
      </c>
      <c r="E150" t="s">
        <v>762</v>
      </c>
      <c r="F150" t="s">
        <v>562</v>
      </c>
      <c r="G150" s="3">
        <v>3</v>
      </c>
      <c r="H150" s="3">
        <v>599</v>
      </c>
      <c r="I150">
        <v>537.70000000000005</v>
      </c>
      <c r="J150" t="s">
        <v>454</v>
      </c>
      <c r="K150" s="6">
        <v>39.81</v>
      </c>
      <c r="L150" s="6">
        <v>35</v>
      </c>
      <c r="M150" s="5">
        <v>1.1374285714285715</v>
      </c>
      <c r="N150" s="3">
        <v>411</v>
      </c>
      <c r="O150" s="10">
        <v>12</v>
      </c>
      <c r="P150" s="10">
        <v>51</v>
      </c>
      <c r="Q150" s="5">
        <v>0.23529411764705882</v>
      </c>
      <c r="R150" s="5">
        <v>0.19</v>
      </c>
      <c r="S150" s="5">
        <v>1.238389</v>
      </c>
      <c r="T150" s="3">
        <v>328</v>
      </c>
      <c r="U150" s="10">
        <v>0</v>
      </c>
      <c r="V150" s="10">
        <v>51</v>
      </c>
      <c r="W150" s="5">
        <v>0</v>
      </c>
      <c r="X150" s="5">
        <v>0.05</v>
      </c>
      <c r="Y150" s="5">
        <v>0</v>
      </c>
      <c r="Z150" s="3">
        <v>994</v>
      </c>
      <c r="AA150" s="11">
        <v>0.66666599999999998</v>
      </c>
      <c r="AB150" s="3">
        <v>1060</v>
      </c>
      <c r="AC150">
        <v>8</v>
      </c>
      <c r="AD150" s="3">
        <v>36</v>
      </c>
      <c r="AE150">
        <v>5</v>
      </c>
      <c r="AF150">
        <v>15</v>
      </c>
      <c r="AG150" s="5">
        <v>0.33333333333333331</v>
      </c>
      <c r="AH150" s="5">
        <v>0.1</v>
      </c>
      <c r="AI150" s="5">
        <v>3.3333300000000001</v>
      </c>
      <c r="AJ150" s="3">
        <v>113</v>
      </c>
      <c r="AK150" s="5">
        <v>0.1666665</v>
      </c>
      <c r="AL150" s="5">
        <v>0.4</v>
      </c>
      <c r="AM150" s="5">
        <v>0.41666500000000001</v>
      </c>
      <c r="AN150" s="3">
        <v>960</v>
      </c>
      <c r="AO150">
        <v>1</v>
      </c>
      <c r="AP150">
        <v>5</v>
      </c>
      <c r="AQ150" s="5">
        <v>0.2</v>
      </c>
      <c r="AR150" s="5">
        <v>0.8</v>
      </c>
      <c r="AS150" s="5">
        <v>0.25</v>
      </c>
      <c r="AT150" s="5">
        <v>885</v>
      </c>
    </row>
    <row r="151" spans="1:46" hidden="1">
      <c r="A151" t="str">
        <f>_xlfn.XLOOKUP(Table13[[#This Row],[SAP]],'Location List'!B:B,'Location List'!G:G)</f>
        <v>SOUTH TX/RGV</v>
      </c>
      <c r="B151" t="str">
        <f>LEFT(Table13[[#This Row],[Sap: Loaction]],4)</f>
        <v>2584</v>
      </c>
      <c r="C151" s="4" t="str">
        <f>_xlfn.XLOOKUP(Table13[[#This Row],[Employee]],'Location List'!M:M,'Location List'!N:N,"",0)</f>
        <v/>
      </c>
      <c r="D151" t="s">
        <v>973</v>
      </c>
      <c r="E151" t="s">
        <v>854</v>
      </c>
      <c r="F151" t="s">
        <v>498</v>
      </c>
      <c r="G151" s="3">
        <v>3</v>
      </c>
      <c r="H151" s="3">
        <v>600</v>
      </c>
      <c r="I151">
        <v>538.45000000000005</v>
      </c>
      <c r="J151" t="s">
        <v>454</v>
      </c>
      <c r="K151" s="6">
        <v>64.150000000000006</v>
      </c>
      <c r="L151" s="6">
        <v>40</v>
      </c>
      <c r="M151" s="5">
        <v>1.60375</v>
      </c>
      <c r="N151" s="3">
        <v>185</v>
      </c>
      <c r="O151" s="10">
        <v>22</v>
      </c>
      <c r="P151" s="10">
        <v>140</v>
      </c>
      <c r="Q151" s="5">
        <v>0.15714285714285714</v>
      </c>
      <c r="R151" s="5">
        <v>0.19</v>
      </c>
      <c r="S151" s="5">
        <v>0.82706299999999999</v>
      </c>
      <c r="T151" s="3">
        <v>656</v>
      </c>
      <c r="U151" s="10">
        <v>3</v>
      </c>
      <c r="V151" s="10">
        <v>140</v>
      </c>
      <c r="W151" s="5">
        <v>2.1428571428571429E-2</v>
      </c>
      <c r="X151" s="5">
        <v>0.05</v>
      </c>
      <c r="Y151" s="5">
        <v>0.42856</v>
      </c>
      <c r="Z151" s="3">
        <v>622</v>
      </c>
      <c r="AA151" s="11">
        <v>0.5625</v>
      </c>
      <c r="AB151" s="3">
        <v>1152</v>
      </c>
      <c r="AC151">
        <v>9.5</v>
      </c>
      <c r="AD151" s="3">
        <v>14</v>
      </c>
      <c r="AE151">
        <v>0</v>
      </c>
      <c r="AF151">
        <v>29</v>
      </c>
      <c r="AG151" s="5">
        <v>0</v>
      </c>
      <c r="AH151" s="5">
        <v>0.1</v>
      </c>
      <c r="AI151" s="5">
        <v>0</v>
      </c>
      <c r="AJ151" s="3">
        <v>696</v>
      </c>
      <c r="AK151" s="5">
        <v>0.59523800000000004</v>
      </c>
      <c r="AL151" s="5">
        <v>0.4</v>
      </c>
      <c r="AM151" s="5">
        <v>1.4880949999999999</v>
      </c>
      <c r="AN151" s="3">
        <v>252</v>
      </c>
      <c r="AO151">
        <v>8</v>
      </c>
      <c r="AP151">
        <v>13</v>
      </c>
      <c r="AQ151" s="5">
        <v>0.61538461538461542</v>
      </c>
      <c r="AR151" s="5">
        <v>0.8</v>
      </c>
      <c r="AS151" s="5">
        <v>0.76922999999999997</v>
      </c>
      <c r="AT151" s="5">
        <v>711</v>
      </c>
    </row>
    <row r="152" spans="1:46" hidden="1">
      <c r="A152" t="str">
        <f>_xlfn.XLOOKUP(Table13[[#This Row],[SAP]],'Location List'!B:B,'Location List'!G:G)</f>
        <v>MO/IA/NE</v>
      </c>
      <c r="B152" t="str">
        <f>LEFT(Table13[[#This Row],[Sap: Loaction]],4)</f>
        <v>3ISY</v>
      </c>
      <c r="C152" s="4" t="str">
        <f>_xlfn.XLOOKUP(Table13[[#This Row],[Employee]],'Location List'!M:M,'Location List'!N:N,"",0)</f>
        <v/>
      </c>
      <c r="D152" t="s">
        <v>973</v>
      </c>
      <c r="E152" t="s">
        <v>752</v>
      </c>
      <c r="F152" t="s">
        <v>527</v>
      </c>
      <c r="G152" s="3">
        <v>3</v>
      </c>
      <c r="H152" s="3">
        <v>605</v>
      </c>
      <c r="I152">
        <v>540.20000000000005</v>
      </c>
      <c r="J152" t="s">
        <v>454</v>
      </c>
      <c r="K152" s="6">
        <v>51.16</v>
      </c>
      <c r="L152" s="6">
        <v>40</v>
      </c>
      <c r="M152" s="5">
        <v>1.2789999999999999</v>
      </c>
      <c r="N152" s="3">
        <v>330</v>
      </c>
      <c r="O152" s="10">
        <v>15</v>
      </c>
      <c r="P152" s="10">
        <v>112</v>
      </c>
      <c r="Q152" s="5">
        <v>0.13392857142857142</v>
      </c>
      <c r="R152" s="5">
        <v>0.19</v>
      </c>
      <c r="S152" s="5">
        <v>0.70488399999999996</v>
      </c>
      <c r="T152" s="3">
        <v>780</v>
      </c>
      <c r="U152" s="10">
        <v>6</v>
      </c>
      <c r="V152" s="10">
        <v>112</v>
      </c>
      <c r="W152" s="5">
        <v>5.3571428571428568E-2</v>
      </c>
      <c r="X152" s="5">
        <v>0.05</v>
      </c>
      <c r="Y152" s="5">
        <v>1.07142</v>
      </c>
      <c r="Z152" s="3">
        <v>183</v>
      </c>
      <c r="AA152" s="11">
        <v>1.3157890000000001</v>
      </c>
      <c r="AB152" s="3">
        <v>574</v>
      </c>
      <c r="AC152">
        <v>9.7272719999999993</v>
      </c>
      <c r="AD152" s="3">
        <v>8</v>
      </c>
      <c r="AE152">
        <v>3</v>
      </c>
      <c r="AF152">
        <v>30</v>
      </c>
      <c r="AG152" s="5">
        <v>0.1</v>
      </c>
      <c r="AH152" s="5">
        <v>0.1</v>
      </c>
      <c r="AI152" s="5">
        <v>1</v>
      </c>
      <c r="AJ152" s="3">
        <v>486</v>
      </c>
      <c r="AK152" s="5">
        <v>0.16666666666666666</v>
      </c>
      <c r="AL152" s="5">
        <v>0.4</v>
      </c>
      <c r="AM152" s="5">
        <v>0.41666500000000001</v>
      </c>
      <c r="AN152" s="3">
        <v>960</v>
      </c>
      <c r="AO152">
        <v>1</v>
      </c>
      <c r="AP152">
        <v>6</v>
      </c>
      <c r="AQ152" s="5">
        <v>0.16666666666666666</v>
      </c>
      <c r="AR152" s="5">
        <v>0.8</v>
      </c>
      <c r="AS152" s="5">
        <v>0.20833199999999999</v>
      </c>
      <c r="AT152" s="5">
        <v>893</v>
      </c>
    </row>
    <row r="153" spans="1:46" hidden="1">
      <c r="A153" t="str">
        <f>_xlfn.XLOOKUP(Table13[[#This Row],[SAP]],'Location List'!B:B,'Location List'!G:G)</f>
        <v>DFW EAST</v>
      </c>
      <c r="B153" t="str">
        <f>LEFT(Table13[[#This Row],[Sap: Loaction]],4)</f>
        <v>2536</v>
      </c>
      <c r="C153" s="4" t="str">
        <f>_xlfn.XLOOKUP(Table13[[#This Row],[Employee]],'Location List'!M:M,'Location List'!N:N,"",0)</f>
        <v/>
      </c>
      <c r="D153" t="s">
        <v>973</v>
      </c>
      <c r="E153" t="s">
        <v>722</v>
      </c>
      <c r="F153" t="s">
        <v>532</v>
      </c>
      <c r="G153" s="3">
        <v>3</v>
      </c>
      <c r="H153" s="3">
        <v>610</v>
      </c>
      <c r="I153">
        <v>541.4</v>
      </c>
      <c r="J153" t="s">
        <v>454</v>
      </c>
      <c r="K153" s="6">
        <v>21.66</v>
      </c>
      <c r="L153" s="6">
        <v>40</v>
      </c>
      <c r="M153" s="5">
        <v>0.54149999999999998</v>
      </c>
      <c r="N153" s="3">
        <v>824</v>
      </c>
      <c r="O153" s="10">
        <v>20</v>
      </c>
      <c r="P153" s="10">
        <v>98</v>
      </c>
      <c r="Q153" s="5">
        <v>0.20408163265306123</v>
      </c>
      <c r="R153" s="5">
        <v>0.19</v>
      </c>
      <c r="S153" s="5">
        <v>1.0741099999999999</v>
      </c>
      <c r="T153" s="3">
        <v>450</v>
      </c>
      <c r="U153" s="10">
        <v>3</v>
      </c>
      <c r="V153" s="10">
        <v>98</v>
      </c>
      <c r="W153" s="5">
        <v>3.0612244897959183E-2</v>
      </c>
      <c r="X153" s="5">
        <v>0.05</v>
      </c>
      <c r="Y153" s="5">
        <v>0.61224000000000001</v>
      </c>
      <c r="Z153" s="3">
        <v>441</v>
      </c>
      <c r="AA153" s="11">
        <v>0.69230700000000001</v>
      </c>
      <c r="AB153" s="3">
        <v>1051</v>
      </c>
      <c r="AC153">
        <v>10</v>
      </c>
      <c r="AD153" s="3">
        <v>1</v>
      </c>
      <c r="AE153">
        <v>0</v>
      </c>
      <c r="AF153">
        <v>13</v>
      </c>
      <c r="AG153" s="5">
        <v>0</v>
      </c>
      <c r="AH153" s="5">
        <v>0.1</v>
      </c>
      <c r="AI153" s="5">
        <v>0</v>
      </c>
      <c r="AJ153" s="3">
        <v>696</v>
      </c>
      <c r="AK153" s="5">
        <v>0.31746000000000002</v>
      </c>
      <c r="AL153" s="5">
        <v>0.4</v>
      </c>
      <c r="AM153" s="5">
        <v>0.79364999999999997</v>
      </c>
      <c r="AN153" s="3">
        <v>740</v>
      </c>
      <c r="AO153">
        <v>4</v>
      </c>
      <c r="AP153">
        <v>4</v>
      </c>
      <c r="AQ153" s="5">
        <v>1</v>
      </c>
      <c r="AR153" s="5">
        <v>0.8</v>
      </c>
      <c r="AS153" s="5">
        <v>1.25</v>
      </c>
      <c r="AT153" s="5">
        <v>1</v>
      </c>
    </row>
    <row r="154" spans="1:46" hidden="1">
      <c r="A154" t="str">
        <f>_xlfn.XLOOKUP(Table13[[#This Row],[SAP]],'Location List'!B:B,'Location List'!G:G)</f>
        <v>KS/OK</v>
      </c>
      <c r="B154" t="str">
        <f>LEFT(Table13[[#This Row],[Sap: Loaction]],4)</f>
        <v>4789</v>
      </c>
      <c r="C154" s="4" t="str">
        <f>_xlfn.XLOOKUP(Table13[[#This Row],[Employee]],'Location List'!M:M,'Location List'!N:N,"",0)</f>
        <v/>
      </c>
      <c r="D154" t="s">
        <v>973</v>
      </c>
      <c r="E154" t="s">
        <v>608</v>
      </c>
      <c r="F154" t="s">
        <v>501</v>
      </c>
      <c r="G154" s="3">
        <v>3</v>
      </c>
      <c r="H154" s="3">
        <v>611</v>
      </c>
      <c r="I154">
        <v>541.54999999999995</v>
      </c>
      <c r="J154" t="s">
        <v>454</v>
      </c>
      <c r="K154" s="6">
        <v>22.88</v>
      </c>
      <c r="L154" s="6">
        <v>40</v>
      </c>
      <c r="M154" s="5">
        <v>0.57199999999999995</v>
      </c>
      <c r="N154" s="3">
        <v>802</v>
      </c>
      <c r="O154" s="10">
        <v>22</v>
      </c>
      <c r="P154" s="10">
        <v>122</v>
      </c>
      <c r="Q154" s="5">
        <v>0.18032786885245902</v>
      </c>
      <c r="R154" s="5">
        <v>0.19</v>
      </c>
      <c r="S154" s="5">
        <v>0.94908899999999996</v>
      </c>
      <c r="T154" s="3">
        <v>540</v>
      </c>
      <c r="U154" s="10">
        <v>0</v>
      </c>
      <c r="V154" s="10">
        <v>122</v>
      </c>
      <c r="W154" s="5">
        <v>0</v>
      </c>
      <c r="X154" s="5">
        <v>0.05</v>
      </c>
      <c r="Y154" s="5">
        <v>0</v>
      </c>
      <c r="Z154" s="3">
        <v>994</v>
      </c>
      <c r="AA154" s="11">
        <v>1.764705</v>
      </c>
      <c r="AB154" s="3">
        <v>323</v>
      </c>
      <c r="AC154">
        <v>7</v>
      </c>
      <c r="AD154" s="3">
        <v>46</v>
      </c>
      <c r="AE154">
        <v>1</v>
      </c>
      <c r="AF154">
        <v>26</v>
      </c>
      <c r="AG154" s="5">
        <v>3.8461538461538464E-2</v>
      </c>
      <c r="AH154" s="5">
        <v>0.1</v>
      </c>
      <c r="AI154" s="5">
        <v>0.38461000000000001</v>
      </c>
      <c r="AJ154" s="3">
        <v>677</v>
      </c>
      <c r="AK154" s="5">
        <v>0.3</v>
      </c>
      <c r="AL154" s="5">
        <v>0.4</v>
      </c>
      <c r="AM154" s="5">
        <v>0.75</v>
      </c>
      <c r="AN154" s="3">
        <v>753</v>
      </c>
      <c r="AO154">
        <v>2</v>
      </c>
      <c r="AP154">
        <v>2</v>
      </c>
      <c r="AQ154" s="5">
        <v>1</v>
      </c>
      <c r="AR154" s="5">
        <v>0.8</v>
      </c>
      <c r="AS154" s="5">
        <v>1.25</v>
      </c>
      <c r="AT154" s="5">
        <v>1</v>
      </c>
    </row>
    <row r="155" spans="1:46" hidden="1">
      <c r="A155" t="str">
        <f>_xlfn.XLOOKUP(Table13[[#This Row],[SAP]],'Location List'!B:B,'Location List'!G:G)</f>
        <v>WEST TEXAS</v>
      </c>
      <c r="B155" t="str">
        <f>LEFT(Table13[[#This Row],[Sap: Loaction]],4)</f>
        <v>1LSS</v>
      </c>
      <c r="C155" s="4" t="str">
        <f>_xlfn.XLOOKUP(Table13[[#This Row],[Employee]],'Location List'!M:M,'Location List'!N:N,"",0)</f>
        <v/>
      </c>
      <c r="D155" t="s">
        <v>973</v>
      </c>
      <c r="E155" t="s">
        <v>632</v>
      </c>
      <c r="F155" t="s">
        <v>537</v>
      </c>
      <c r="G155" s="3">
        <v>3</v>
      </c>
      <c r="H155" s="3">
        <v>613</v>
      </c>
      <c r="I155">
        <v>542.29999999999995</v>
      </c>
      <c r="J155" t="s">
        <v>454</v>
      </c>
      <c r="K155" s="6">
        <v>31.62</v>
      </c>
      <c r="L155" s="6">
        <v>35</v>
      </c>
      <c r="M155" s="5">
        <v>0.90342857142857147</v>
      </c>
      <c r="N155" s="3">
        <v>564</v>
      </c>
      <c r="O155" s="10">
        <v>8</v>
      </c>
      <c r="P155" s="10">
        <v>47</v>
      </c>
      <c r="Q155" s="5">
        <v>0.1702127659574468</v>
      </c>
      <c r="R155" s="5">
        <v>0.19</v>
      </c>
      <c r="S155" s="5">
        <v>0.89585199999999998</v>
      </c>
      <c r="T155" s="3">
        <v>589</v>
      </c>
      <c r="U155" s="10">
        <v>1</v>
      </c>
      <c r="V155" s="10">
        <v>47</v>
      </c>
      <c r="W155" s="5">
        <v>2.1276595744680851E-2</v>
      </c>
      <c r="X155" s="5">
        <v>0.05</v>
      </c>
      <c r="Y155" s="5">
        <v>0.42552000000000001</v>
      </c>
      <c r="Z155" s="3">
        <v>625</v>
      </c>
      <c r="AA155" s="11">
        <v>1.6</v>
      </c>
      <c r="AB155" s="3">
        <v>394</v>
      </c>
      <c r="AC155">
        <v>10</v>
      </c>
      <c r="AD155" s="3">
        <v>1</v>
      </c>
      <c r="AE155">
        <v>0</v>
      </c>
      <c r="AF155">
        <v>10</v>
      </c>
      <c r="AG155" s="5">
        <v>0</v>
      </c>
      <c r="AH155" s="5">
        <v>0.1</v>
      </c>
      <c r="AI155" s="5">
        <v>0</v>
      </c>
      <c r="AJ155" s="3">
        <v>696</v>
      </c>
      <c r="AK155" s="5">
        <v>0.375</v>
      </c>
      <c r="AL155" s="5">
        <v>0.4</v>
      </c>
      <c r="AM155" s="5">
        <v>0.9375</v>
      </c>
      <c r="AN155" s="3">
        <v>594</v>
      </c>
      <c r="AO155">
        <v>1</v>
      </c>
      <c r="AP155">
        <v>2</v>
      </c>
      <c r="AQ155" s="5">
        <v>0.5</v>
      </c>
      <c r="AR155" s="5">
        <v>0.8</v>
      </c>
      <c r="AS155" s="5">
        <v>0.625</v>
      </c>
      <c r="AT155" s="5">
        <v>741</v>
      </c>
    </row>
    <row r="156" spans="1:46" hidden="1">
      <c r="A156" t="str">
        <f>_xlfn.XLOOKUP(Table13[[#This Row],[SAP]],'Location List'!B:B,'Location List'!G:G)</f>
        <v>DFW NORTH</v>
      </c>
      <c r="B156" t="str">
        <f>LEFT(Table13[[#This Row],[Sap: Loaction]],4)</f>
        <v>256E</v>
      </c>
      <c r="C156" s="4" t="str">
        <f>_xlfn.XLOOKUP(Table13[[#This Row],[Employee]],'Location List'!M:M,'Location List'!N:N,"",0)</f>
        <v/>
      </c>
      <c r="D156" t="s">
        <v>973</v>
      </c>
      <c r="E156" t="s">
        <v>772</v>
      </c>
      <c r="F156" t="s">
        <v>577</v>
      </c>
      <c r="G156" s="3">
        <v>3</v>
      </c>
      <c r="H156" s="3">
        <v>617</v>
      </c>
      <c r="I156">
        <v>543.65</v>
      </c>
      <c r="J156" t="s">
        <v>454</v>
      </c>
      <c r="K156" s="6">
        <v>33.729999999999997</v>
      </c>
      <c r="L156" s="6">
        <v>34.999999999999993</v>
      </c>
      <c r="M156" s="5">
        <v>0.96371428571428575</v>
      </c>
      <c r="N156" s="3">
        <v>519</v>
      </c>
      <c r="O156" s="10">
        <v>16</v>
      </c>
      <c r="P156" s="10">
        <v>92</v>
      </c>
      <c r="Q156" s="5">
        <v>0.17391304347826086</v>
      </c>
      <c r="R156" s="5">
        <v>0.19</v>
      </c>
      <c r="S156" s="5">
        <v>0.91533100000000001</v>
      </c>
      <c r="T156" s="3">
        <v>567</v>
      </c>
      <c r="U156" s="10">
        <v>3</v>
      </c>
      <c r="V156" s="10">
        <v>92</v>
      </c>
      <c r="W156" s="5">
        <v>3.2608695652173912E-2</v>
      </c>
      <c r="X156" s="5">
        <v>0.05</v>
      </c>
      <c r="Y156" s="5">
        <v>0.65215999999999996</v>
      </c>
      <c r="Z156" s="3">
        <v>411</v>
      </c>
      <c r="AA156" s="11">
        <v>1.3125</v>
      </c>
      <c r="AB156" s="3">
        <v>575</v>
      </c>
      <c r="AC156">
        <v>10</v>
      </c>
      <c r="AD156" s="3">
        <v>1</v>
      </c>
      <c r="AE156">
        <v>0</v>
      </c>
      <c r="AF156">
        <v>18</v>
      </c>
      <c r="AG156" s="5">
        <v>0</v>
      </c>
      <c r="AH156" s="5">
        <v>0.1</v>
      </c>
      <c r="AI156" s="5">
        <v>0</v>
      </c>
      <c r="AJ156" s="3">
        <v>696</v>
      </c>
      <c r="AK156" s="5">
        <v>0.25</v>
      </c>
      <c r="AL156" s="5">
        <v>0.4</v>
      </c>
      <c r="AM156" s="5">
        <v>0.625</v>
      </c>
      <c r="AN156" s="3">
        <v>812</v>
      </c>
      <c r="AO156">
        <v>4</v>
      </c>
      <c r="AP156">
        <v>6</v>
      </c>
      <c r="AQ156" s="5">
        <v>0.66666666666666663</v>
      </c>
      <c r="AR156" s="5">
        <v>0.8</v>
      </c>
      <c r="AS156" s="5">
        <v>0.83333199999999996</v>
      </c>
      <c r="AT156" s="5">
        <v>681</v>
      </c>
    </row>
    <row r="157" spans="1:46" hidden="1">
      <c r="A157" t="str">
        <f>_xlfn.XLOOKUP(Table13[[#This Row],[SAP]],'Location List'!B:B,'Location List'!G:G)</f>
        <v>CENTRAL TEXAS</v>
      </c>
      <c r="B157" t="str">
        <f>LEFT(Table13[[#This Row],[Sap: Loaction]],4)</f>
        <v>1DSF</v>
      </c>
      <c r="C157" s="4" t="str">
        <f>_xlfn.XLOOKUP(Table13[[#This Row],[Employee]],'Location List'!M:M,'Location List'!N:N,"",0)</f>
        <v/>
      </c>
      <c r="D157" t="s">
        <v>973</v>
      </c>
      <c r="E157" t="s">
        <v>710</v>
      </c>
      <c r="F157" t="s">
        <v>546</v>
      </c>
      <c r="G157" s="3">
        <v>3</v>
      </c>
      <c r="H157" s="3">
        <v>619</v>
      </c>
      <c r="I157">
        <v>543.95000000000005</v>
      </c>
      <c r="J157" t="s">
        <v>454</v>
      </c>
      <c r="K157" s="6">
        <v>30.34</v>
      </c>
      <c r="L157" s="6">
        <v>35</v>
      </c>
      <c r="M157" s="5">
        <v>0.86685714285714288</v>
      </c>
      <c r="N157" s="3">
        <v>589</v>
      </c>
      <c r="O157" s="10">
        <v>6</v>
      </c>
      <c r="P157" s="10">
        <v>66</v>
      </c>
      <c r="Q157" s="5">
        <v>9.0909090909090912E-2</v>
      </c>
      <c r="R157" s="5">
        <v>0.19</v>
      </c>
      <c r="S157" s="5">
        <v>0.478468</v>
      </c>
      <c r="T157" s="3">
        <v>1035</v>
      </c>
      <c r="U157" s="10">
        <v>5</v>
      </c>
      <c r="V157" s="10">
        <v>66</v>
      </c>
      <c r="W157" s="5">
        <v>7.575757575757576E-2</v>
      </c>
      <c r="X157" s="5">
        <v>0.05</v>
      </c>
      <c r="Y157" s="5">
        <v>1.5151399999999999</v>
      </c>
      <c r="Z157" s="3">
        <v>69</v>
      </c>
      <c r="AA157" s="11">
        <v>0.57142800000000005</v>
      </c>
      <c r="AB157" s="3">
        <v>1141</v>
      </c>
      <c r="AC157">
        <v>5</v>
      </c>
      <c r="AD157" s="3">
        <v>62</v>
      </c>
      <c r="AE157">
        <v>0</v>
      </c>
      <c r="AF157">
        <v>15</v>
      </c>
      <c r="AG157" s="5">
        <v>0</v>
      </c>
      <c r="AH157" s="5">
        <v>0.1</v>
      </c>
      <c r="AI157" s="5">
        <v>0</v>
      </c>
      <c r="AJ157" s="3">
        <v>696</v>
      </c>
      <c r="AK157" s="5">
        <v>0.66666650000000005</v>
      </c>
      <c r="AL157" s="5">
        <v>0.4</v>
      </c>
      <c r="AM157" s="5">
        <v>1.6666650000000001</v>
      </c>
      <c r="AN157" s="3">
        <v>169</v>
      </c>
      <c r="AO157">
        <v>1</v>
      </c>
      <c r="AP157">
        <v>1</v>
      </c>
      <c r="AQ157" s="5">
        <v>1</v>
      </c>
      <c r="AR157" s="5">
        <v>0.8</v>
      </c>
      <c r="AS157" s="5">
        <v>1.25</v>
      </c>
      <c r="AT157" s="5">
        <v>1</v>
      </c>
    </row>
    <row r="158" spans="1:46" hidden="1">
      <c r="A158" t="str">
        <f>_xlfn.XLOOKUP(Table13[[#This Row],[SAP]],'Location List'!B:B,'Location List'!G:G)</f>
        <v>CENTRAL TEXAS</v>
      </c>
      <c r="B158" t="str">
        <f>LEFT(Table13[[#This Row],[Sap: Loaction]],4)</f>
        <v>1DSU</v>
      </c>
      <c r="C158" s="4" t="str">
        <f>_xlfn.XLOOKUP(Table13[[#This Row],[Employee]],'Location List'!M:M,'Location List'!N:N,"",0)</f>
        <v/>
      </c>
      <c r="D158" t="s">
        <v>973</v>
      </c>
      <c r="E158" t="s">
        <v>756</v>
      </c>
      <c r="F158" t="s">
        <v>506</v>
      </c>
      <c r="G158" s="3">
        <v>3</v>
      </c>
      <c r="H158" s="3">
        <v>621</v>
      </c>
      <c r="I158">
        <v>544.15</v>
      </c>
      <c r="J158" t="s">
        <v>454</v>
      </c>
      <c r="K158" s="6">
        <v>37.22</v>
      </c>
      <c r="L158" s="6">
        <v>40</v>
      </c>
      <c r="M158" s="5">
        <v>0.93049999999999999</v>
      </c>
      <c r="N158" s="3">
        <v>539</v>
      </c>
      <c r="O158" s="10">
        <v>11</v>
      </c>
      <c r="P158" s="10">
        <v>102</v>
      </c>
      <c r="Q158" s="5">
        <v>0.10784313725490197</v>
      </c>
      <c r="R158" s="5">
        <v>0.19</v>
      </c>
      <c r="S158" s="5">
        <v>0.56759400000000004</v>
      </c>
      <c r="T158" s="3">
        <v>936</v>
      </c>
      <c r="U158" s="10">
        <v>6</v>
      </c>
      <c r="V158" s="10">
        <v>102</v>
      </c>
      <c r="W158" s="5">
        <v>5.8823529411764705E-2</v>
      </c>
      <c r="X158" s="5">
        <v>0.05</v>
      </c>
      <c r="Y158" s="5">
        <v>1.1764600000000001</v>
      </c>
      <c r="Z158" s="3">
        <v>138</v>
      </c>
      <c r="AA158" s="11">
        <v>1.2222219999999999</v>
      </c>
      <c r="AB158" s="3">
        <v>627</v>
      </c>
      <c r="AC158">
        <v>10</v>
      </c>
      <c r="AD158" s="3">
        <v>1</v>
      </c>
      <c r="AE158">
        <v>0</v>
      </c>
      <c r="AF158">
        <v>15</v>
      </c>
      <c r="AG158" s="5">
        <v>0</v>
      </c>
      <c r="AH158" s="5">
        <v>0.1</v>
      </c>
      <c r="AI158" s="5">
        <v>0</v>
      </c>
      <c r="AJ158" s="3">
        <v>696</v>
      </c>
      <c r="AK158" s="5">
        <v>0.19047600000000001</v>
      </c>
      <c r="AL158" s="5">
        <v>0.4</v>
      </c>
      <c r="AM158" s="5">
        <v>0.47619</v>
      </c>
      <c r="AN158" s="3">
        <v>950</v>
      </c>
      <c r="AO158">
        <v>4</v>
      </c>
      <c r="AP158">
        <v>4</v>
      </c>
      <c r="AQ158" s="5">
        <v>1</v>
      </c>
      <c r="AR158" s="5">
        <v>0.8</v>
      </c>
      <c r="AS158" s="5">
        <v>1.25</v>
      </c>
      <c r="AT158" s="5">
        <v>1</v>
      </c>
    </row>
    <row r="159" spans="1:46" hidden="1">
      <c r="A159" t="str">
        <f>_xlfn.XLOOKUP(Table13[[#This Row],[SAP]],'Location List'!B:B,'Location List'!G:G)</f>
        <v>DFW NORTH</v>
      </c>
      <c r="B159" t="str">
        <f>LEFT(Table13[[#This Row],[Sap: Loaction]],4)</f>
        <v>211E</v>
      </c>
      <c r="C159" s="4" t="str">
        <f>_xlfn.XLOOKUP(Table13[[#This Row],[Employee]],'Location List'!M:M,'Location List'!N:N,"",0)</f>
        <v>RSM</v>
      </c>
      <c r="D159" t="s">
        <v>973</v>
      </c>
      <c r="E159" t="s">
        <v>851</v>
      </c>
      <c r="F159" t="s">
        <v>557</v>
      </c>
      <c r="G159" s="3">
        <v>3</v>
      </c>
      <c r="H159" s="3">
        <v>623</v>
      </c>
      <c r="I159">
        <v>544.65</v>
      </c>
      <c r="J159" t="s">
        <v>454</v>
      </c>
      <c r="K159" s="6">
        <v>21.73</v>
      </c>
      <c r="L159" s="6">
        <v>35</v>
      </c>
      <c r="M159" s="5">
        <v>0.62085714285714289</v>
      </c>
      <c r="N159" s="3">
        <v>780</v>
      </c>
      <c r="O159" s="10">
        <v>11</v>
      </c>
      <c r="P159" s="10">
        <v>68</v>
      </c>
      <c r="Q159" s="5">
        <v>0.16176470588235295</v>
      </c>
      <c r="R159" s="5">
        <v>0.19</v>
      </c>
      <c r="S159" s="5">
        <v>0.85138899999999995</v>
      </c>
      <c r="T159" s="3">
        <v>635</v>
      </c>
      <c r="U159" s="10">
        <v>5</v>
      </c>
      <c r="V159" s="10">
        <v>68</v>
      </c>
      <c r="W159" s="5">
        <v>7.3529411764705885E-2</v>
      </c>
      <c r="X159" s="5">
        <v>0.05</v>
      </c>
      <c r="Y159" s="5">
        <v>1.47058</v>
      </c>
      <c r="Z159" s="3">
        <v>78</v>
      </c>
      <c r="AA159" s="11">
        <v>1.25</v>
      </c>
      <c r="AB159" s="3">
        <v>606</v>
      </c>
      <c r="AC159">
        <v>10</v>
      </c>
      <c r="AD159" s="3">
        <v>1</v>
      </c>
      <c r="AE159">
        <v>1</v>
      </c>
      <c r="AF159">
        <v>17</v>
      </c>
      <c r="AG159" s="5">
        <v>5.8823529411764705E-2</v>
      </c>
      <c r="AH159" s="5">
        <v>0.1</v>
      </c>
      <c r="AI159" s="5">
        <v>0.58823000000000003</v>
      </c>
      <c r="AJ159" s="3">
        <v>613</v>
      </c>
      <c r="AK159" s="5">
        <v>0.44444400000000001</v>
      </c>
      <c r="AL159" s="5">
        <v>0.4</v>
      </c>
      <c r="AM159" s="5">
        <v>1.11111</v>
      </c>
      <c r="AN159" s="3">
        <v>500</v>
      </c>
      <c r="AO159">
        <v>0</v>
      </c>
      <c r="AP159">
        <v>0</v>
      </c>
      <c r="AQ159" s="5" t="s">
        <v>653</v>
      </c>
      <c r="AR159" s="5">
        <v>0.8</v>
      </c>
      <c r="AS159" s="5">
        <v>0</v>
      </c>
      <c r="AT159" s="5">
        <v>902</v>
      </c>
    </row>
    <row r="160" spans="1:46" hidden="1">
      <c r="A160" t="str">
        <f>_xlfn.XLOOKUP(Table13[[#This Row],[SAP]],'Location List'!B:B,'Location List'!G:G)</f>
        <v>DFW EAST</v>
      </c>
      <c r="B160" t="str">
        <f>LEFT(Table13[[#This Row],[Sap: Loaction]],4)</f>
        <v>1357</v>
      </c>
      <c r="C160" s="4" t="str">
        <f>_xlfn.XLOOKUP(Table13[[#This Row],[Employee]],'Location List'!M:M,'Location List'!N:N,"",0)</f>
        <v/>
      </c>
      <c r="D160" t="s">
        <v>973</v>
      </c>
      <c r="E160" t="s">
        <v>907</v>
      </c>
      <c r="F160" t="s">
        <v>549</v>
      </c>
      <c r="G160" s="3">
        <v>3</v>
      </c>
      <c r="H160" s="3">
        <v>624</v>
      </c>
      <c r="I160">
        <v>544.70000000000005</v>
      </c>
      <c r="J160" t="s">
        <v>454</v>
      </c>
      <c r="K160" s="6">
        <v>23.14</v>
      </c>
      <c r="L160" s="6">
        <v>40</v>
      </c>
      <c r="M160" s="5">
        <v>0.57850000000000001</v>
      </c>
      <c r="N160" s="3">
        <v>798</v>
      </c>
      <c r="O160" s="10">
        <v>13</v>
      </c>
      <c r="P160" s="10">
        <v>93</v>
      </c>
      <c r="Q160" s="5">
        <v>0.13978494623655913</v>
      </c>
      <c r="R160" s="5">
        <v>0.19</v>
      </c>
      <c r="S160" s="5">
        <v>0.73570500000000005</v>
      </c>
      <c r="T160" s="3">
        <v>747</v>
      </c>
      <c r="U160" s="10">
        <v>0</v>
      </c>
      <c r="V160" s="10">
        <v>93</v>
      </c>
      <c r="W160" s="5">
        <v>0</v>
      </c>
      <c r="X160" s="5">
        <v>0.05</v>
      </c>
      <c r="Y160" s="5">
        <v>0</v>
      </c>
      <c r="Z160" s="3">
        <v>994</v>
      </c>
      <c r="AA160" s="11">
        <v>2.6</v>
      </c>
      <c r="AB160" s="3">
        <v>122</v>
      </c>
      <c r="AC160">
        <v>10</v>
      </c>
      <c r="AD160" s="3">
        <v>1</v>
      </c>
      <c r="AE160">
        <v>0</v>
      </c>
      <c r="AF160">
        <v>18</v>
      </c>
      <c r="AG160" s="5">
        <v>0</v>
      </c>
      <c r="AH160" s="5">
        <v>0.1</v>
      </c>
      <c r="AI160" s="5">
        <v>0</v>
      </c>
      <c r="AJ160" s="3">
        <v>696</v>
      </c>
      <c r="AK160" s="5">
        <v>0.375</v>
      </c>
      <c r="AL160" s="5">
        <v>0.4</v>
      </c>
      <c r="AM160" s="5">
        <v>0.9375</v>
      </c>
      <c r="AN160" s="3">
        <v>594</v>
      </c>
      <c r="AO160">
        <v>3</v>
      </c>
      <c r="AP160">
        <v>3</v>
      </c>
      <c r="AQ160" s="5">
        <v>1</v>
      </c>
      <c r="AR160" s="5">
        <v>0.8</v>
      </c>
      <c r="AS160" s="5">
        <v>1.25</v>
      </c>
      <c r="AT160" s="5">
        <v>1</v>
      </c>
    </row>
    <row r="161" spans="1:46">
      <c r="A161" t="str">
        <f>_xlfn.XLOOKUP(Table13[[#This Row],[SAP]],'Location List'!B:B,'Location List'!G:G)</f>
        <v>DFW NORTH</v>
      </c>
      <c r="B161" t="str">
        <f>LEFT(Table13[[#This Row],[Sap: Loaction]],4)</f>
        <v>1BSE</v>
      </c>
      <c r="C161" s="4" t="str">
        <f>_xlfn.XLOOKUP(Table13[[#This Row],[Employee]],'Location List'!M:M,'Location List'!N:N,"",0)</f>
        <v/>
      </c>
      <c r="D161" t="s">
        <v>973</v>
      </c>
      <c r="E161" t="s">
        <v>681</v>
      </c>
      <c r="F161" t="s">
        <v>545</v>
      </c>
      <c r="G161" s="3">
        <v>3</v>
      </c>
      <c r="H161" s="3">
        <v>625</v>
      </c>
      <c r="I161">
        <v>545.25</v>
      </c>
      <c r="J161" t="s">
        <v>454</v>
      </c>
      <c r="K161" s="6">
        <v>4.6100000000000003</v>
      </c>
      <c r="L161" s="6">
        <v>40</v>
      </c>
      <c r="M161" s="5">
        <v>0.11525000000000001</v>
      </c>
      <c r="N161" s="3">
        <v>1119</v>
      </c>
      <c r="O161" s="10">
        <v>8</v>
      </c>
      <c r="P161" s="10">
        <v>56</v>
      </c>
      <c r="Q161" s="5">
        <v>0.14285714285714285</v>
      </c>
      <c r="R161" s="5">
        <v>0.19</v>
      </c>
      <c r="S161" s="5">
        <v>0.75187800000000005</v>
      </c>
      <c r="T161" s="3">
        <v>716</v>
      </c>
      <c r="U161" s="10">
        <v>5</v>
      </c>
      <c r="V161" s="10">
        <v>56</v>
      </c>
      <c r="W161" s="5">
        <v>8.9285714285714288E-2</v>
      </c>
      <c r="X161" s="5">
        <v>0.05</v>
      </c>
      <c r="Y161" s="5">
        <v>1.7857000000000001</v>
      </c>
      <c r="Z161" s="3">
        <v>38</v>
      </c>
      <c r="AA161" s="11">
        <v>1.2222219999999999</v>
      </c>
      <c r="AB161" s="3">
        <v>627</v>
      </c>
      <c r="AC161">
        <v>10</v>
      </c>
      <c r="AD161" s="3">
        <v>1</v>
      </c>
      <c r="AE161">
        <v>0</v>
      </c>
      <c r="AF161">
        <v>12</v>
      </c>
      <c r="AG161" s="5">
        <v>0</v>
      </c>
      <c r="AH161" s="5">
        <v>0.1</v>
      </c>
      <c r="AI161" s="5">
        <v>0</v>
      </c>
      <c r="AJ161" s="3">
        <v>696</v>
      </c>
      <c r="AK161" s="5">
        <v>0.33333333333333331</v>
      </c>
      <c r="AL161" s="5">
        <v>0.4</v>
      </c>
      <c r="AM161" s="5">
        <v>0.83333199999999996</v>
      </c>
      <c r="AN161" s="3">
        <v>631</v>
      </c>
      <c r="AO161">
        <v>1</v>
      </c>
      <c r="AP161">
        <v>1</v>
      </c>
      <c r="AQ161" s="5">
        <v>1</v>
      </c>
      <c r="AR161" s="5">
        <v>0.8</v>
      </c>
      <c r="AS161" s="5">
        <v>1.25</v>
      </c>
      <c r="AT161" s="5">
        <v>1</v>
      </c>
    </row>
    <row r="162" spans="1:46" hidden="1">
      <c r="A162" t="str">
        <f>_xlfn.XLOOKUP(Table13[[#This Row],[SAP]],'Location List'!B:B,'Location List'!G:G)</f>
        <v>KS/OK</v>
      </c>
      <c r="B162" t="str">
        <f>LEFT(Table13[[#This Row],[Sap: Loaction]],4)</f>
        <v>407D</v>
      </c>
      <c r="C162" s="4" t="str">
        <f>_xlfn.XLOOKUP(Table13[[#This Row],[Employee]],'Location List'!M:M,'Location List'!N:N,"",0)</f>
        <v/>
      </c>
      <c r="D162" t="s">
        <v>973</v>
      </c>
      <c r="E162" t="s">
        <v>780</v>
      </c>
      <c r="F162" t="s">
        <v>556</v>
      </c>
      <c r="G162" s="3">
        <v>3</v>
      </c>
      <c r="H162" s="3">
        <v>631</v>
      </c>
      <c r="I162">
        <v>548.6</v>
      </c>
      <c r="J162" t="s">
        <v>454</v>
      </c>
      <c r="K162" s="6">
        <v>44.36</v>
      </c>
      <c r="L162" s="6">
        <v>40</v>
      </c>
      <c r="M162" s="5">
        <v>1.109</v>
      </c>
      <c r="N162" s="3">
        <v>427</v>
      </c>
      <c r="O162" s="10">
        <v>19</v>
      </c>
      <c r="P162" s="10">
        <v>156</v>
      </c>
      <c r="Q162" s="5">
        <v>0.12179487179487179</v>
      </c>
      <c r="R162" s="5">
        <v>0.19</v>
      </c>
      <c r="S162" s="5">
        <v>0.64102099999999995</v>
      </c>
      <c r="T162" s="3">
        <v>847</v>
      </c>
      <c r="U162" s="10">
        <v>3</v>
      </c>
      <c r="V162" s="10">
        <v>156</v>
      </c>
      <c r="W162" s="5">
        <v>1.9230769230769232E-2</v>
      </c>
      <c r="X162" s="5">
        <v>0.05</v>
      </c>
      <c r="Y162" s="5">
        <v>0.3846</v>
      </c>
      <c r="Z162" s="3">
        <v>680</v>
      </c>
      <c r="AA162" s="11">
        <v>1.3636360000000001</v>
      </c>
      <c r="AB162" s="3">
        <v>543</v>
      </c>
      <c r="AC162">
        <v>10</v>
      </c>
      <c r="AD162" s="3">
        <v>1</v>
      </c>
      <c r="AE162">
        <v>1</v>
      </c>
      <c r="AF162">
        <v>27</v>
      </c>
      <c r="AG162" s="5">
        <v>3.7037037037037035E-2</v>
      </c>
      <c r="AH162" s="5">
        <v>0.1</v>
      </c>
      <c r="AI162" s="5">
        <v>0.37036999999999998</v>
      </c>
      <c r="AJ162" s="3">
        <v>679</v>
      </c>
      <c r="AK162" s="5">
        <v>0.5</v>
      </c>
      <c r="AL162" s="5">
        <v>0.4</v>
      </c>
      <c r="AM162" s="5">
        <v>1.25</v>
      </c>
      <c r="AN162" s="3">
        <v>326</v>
      </c>
      <c r="AO162">
        <v>6</v>
      </c>
      <c r="AP162">
        <v>7</v>
      </c>
      <c r="AQ162" s="5">
        <v>0.8571428571428571</v>
      </c>
      <c r="AR162" s="5">
        <v>0.8</v>
      </c>
      <c r="AS162" s="5">
        <v>1.0714269999999999</v>
      </c>
      <c r="AT162" s="5">
        <v>583</v>
      </c>
    </row>
    <row r="163" spans="1:46" hidden="1">
      <c r="A163" t="str">
        <f>_xlfn.XLOOKUP(Table13[[#This Row],[SAP]],'Location List'!B:B,'Location List'!G:G)</f>
        <v>SA/HILL COUNTRY</v>
      </c>
      <c r="B163" t="str">
        <f>LEFT(Table13[[#This Row],[Sap: Loaction]],4)</f>
        <v>1DSW</v>
      </c>
      <c r="C163" s="4" t="str">
        <f>_xlfn.XLOOKUP(Table13[[#This Row],[Employee]],'Location List'!M:M,'Location List'!N:N,"",0)</f>
        <v/>
      </c>
      <c r="D163" t="s">
        <v>973</v>
      </c>
      <c r="E163" t="s">
        <v>705</v>
      </c>
      <c r="F163" t="s">
        <v>500</v>
      </c>
      <c r="G163" s="3">
        <v>3</v>
      </c>
      <c r="H163" s="3">
        <v>632</v>
      </c>
      <c r="I163">
        <v>549.1</v>
      </c>
      <c r="J163" t="s">
        <v>454</v>
      </c>
      <c r="K163" s="6">
        <v>51.77</v>
      </c>
      <c r="L163" s="6">
        <v>40.000000000000007</v>
      </c>
      <c r="M163" s="5">
        <v>1.2942499999999999</v>
      </c>
      <c r="N163" s="3">
        <v>321</v>
      </c>
      <c r="O163" s="10">
        <v>16</v>
      </c>
      <c r="P163" s="10">
        <v>119</v>
      </c>
      <c r="Q163" s="5">
        <v>0.13445378151260504</v>
      </c>
      <c r="R163" s="5">
        <v>0.19</v>
      </c>
      <c r="S163" s="5">
        <v>0.70764700000000003</v>
      </c>
      <c r="T163" s="3">
        <v>778</v>
      </c>
      <c r="U163" s="10">
        <v>2</v>
      </c>
      <c r="V163" s="10">
        <v>119</v>
      </c>
      <c r="W163" s="5">
        <v>1.680672268907563E-2</v>
      </c>
      <c r="X163" s="5">
        <v>0.05</v>
      </c>
      <c r="Y163" s="5">
        <v>0.33611999999999997</v>
      </c>
      <c r="Z163" s="3">
        <v>754</v>
      </c>
      <c r="AA163" s="11">
        <v>1.5454540000000001</v>
      </c>
      <c r="AB163" s="3">
        <v>422</v>
      </c>
      <c r="AC163">
        <v>8.75</v>
      </c>
      <c r="AD163" s="3">
        <v>24</v>
      </c>
      <c r="AE163">
        <v>1</v>
      </c>
      <c r="AF163">
        <v>16</v>
      </c>
      <c r="AG163" s="5">
        <v>6.25E-2</v>
      </c>
      <c r="AH163" s="5">
        <v>0.1</v>
      </c>
      <c r="AI163" s="5">
        <v>0.625</v>
      </c>
      <c r="AJ163" s="3">
        <v>605</v>
      </c>
      <c r="AK163" s="5">
        <v>0.4166665</v>
      </c>
      <c r="AL163" s="5">
        <v>0.4</v>
      </c>
      <c r="AM163" s="5">
        <v>1.0416650000000001</v>
      </c>
      <c r="AN163" s="3">
        <v>530</v>
      </c>
      <c r="AO163">
        <v>2</v>
      </c>
      <c r="AP163">
        <v>5</v>
      </c>
      <c r="AQ163" s="5">
        <v>0.4</v>
      </c>
      <c r="AR163" s="5">
        <v>0.8</v>
      </c>
      <c r="AS163" s="5">
        <v>0.5</v>
      </c>
      <c r="AT163" s="5">
        <v>816</v>
      </c>
    </row>
    <row r="164" spans="1:46" hidden="1">
      <c r="A164" t="str">
        <f>_xlfn.XLOOKUP(Table13[[#This Row],[SAP]],'Location List'!B:B,'Location List'!G:G)</f>
        <v>DFW NORTH</v>
      </c>
      <c r="B164" t="str">
        <f>LEFT(Table13[[#This Row],[Sap: Loaction]],4)</f>
        <v>924C</v>
      </c>
      <c r="C164" s="4" t="str">
        <f>_xlfn.XLOOKUP(Table13[[#This Row],[Employee]],'Location List'!M:M,'Location List'!N:N,"",0)</f>
        <v/>
      </c>
      <c r="D164" t="s">
        <v>973</v>
      </c>
      <c r="E164" t="s">
        <v>877</v>
      </c>
      <c r="F164" t="s">
        <v>559</v>
      </c>
      <c r="G164" s="3">
        <v>3</v>
      </c>
      <c r="H164" s="3">
        <v>656</v>
      </c>
      <c r="I164">
        <v>558.54999999999995</v>
      </c>
      <c r="J164" t="s">
        <v>454</v>
      </c>
      <c r="K164" s="6">
        <v>25.41</v>
      </c>
      <c r="L164" s="6">
        <v>40</v>
      </c>
      <c r="M164" s="5">
        <v>0.63524999999999998</v>
      </c>
      <c r="N164" s="3">
        <v>761</v>
      </c>
      <c r="O164" s="10">
        <v>20</v>
      </c>
      <c r="P164" s="10">
        <v>83</v>
      </c>
      <c r="Q164" s="5">
        <v>0.24096385542168675</v>
      </c>
      <c r="R164" s="5">
        <v>0.19</v>
      </c>
      <c r="S164" s="5">
        <v>1.2682260000000001</v>
      </c>
      <c r="T164" s="3">
        <v>306</v>
      </c>
      <c r="U164" s="10">
        <v>4</v>
      </c>
      <c r="V164" s="10">
        <v>83</v>
      </c>
      <c r="W164" s="5">
        <v>4.8192771084337352E-2</v>
      </c>
      <c r="X164" s="5">
        <v>0.05</v>
      </c>
      <c r="Y164" s="5">
        <v>0.96384000000000003</v>
      </c>
      <c r="Z164" s="3">
        <v>236</v>
      </c>
      <c r="AA164" s="11">
        <v>0.58333299999999999</v>
      </c>
      <c r="AB164" s="3">
        <v>1138</v>
      </c>
      <c r="AC164">
        <v>9.7142850000000003</v>
      </c>
      <c r="AD164" s="3">
        <v>9</v>
      </c>
      <c r="AE164">
        <v>0</v>
      </c>
      <c r="AF164">
        <v>17</v>
      </c>
      <c r="AG164" s="5">
        <v>0</v>
      </c>
      <c r="AH164" s="5">
        <v>0.1</v>
      </c>
      <c r="AI164" s="5">
        <v>0</v>
      </c>
      <c r="AJ164" s="3">
        <v>696</v>
      </c>
      <c r="AK164" s="5">
        <v>0.27777766666666664</v>
      </c>
      <c r="AL164" s="5">
        <v>0.4</v>
      </c>
      <c r="AM164" s="5">
        <v>0.694442</v>
      </c>
      <c r="AN164" s="3">
        <v>787</v>
      </c>
      <c r="AO164">
        <v>9</v>
      </c>
      <c r="AP164">
        <v>11</v>
      </c>
      <c r="AQ164" s="5">
        <v>0.81818181818181823</v>
      </c>
      <c r="AR164" s="5">
        <v>0.8</v>
      </c>
      <c r="AS164" s="5">
        <v>1.022726</v>
      </c>
      <c r="AT164" s="5">
        <v>618</v>
      </c>
    </row>
    <row r="165" spans="1:46">
      <c r="A165" t="str">
        <f>_xlfn.XLOOKUP(Table13[[#This Row],[SAP]],'Location List'!B:B,'Location List'!G:G)</f>
        <v>MO/IA/NE</v>
      </c>
      <c r="B165" t="str">
        <f>LEFT(Table13[[#This Row],[Sap: Loaction]],4)</f>
        <v>3ISY</v>
      </c>
      <c r="C165" s="4" t="str">
        <f>_xlfn.XLOOKUP(Table13[[#This Row],[Employee]],'Location List'!M:M,'Location List'!N:N,"",0)</f>
        <v/>
      </c>
      <c r="D165" t="s">
        <v>973</v>
      </c>
      <c r="E165" t="s">
        <v>878</v>
      </c>
      <c r="F165" t="s">
        <v>527</v>
      </c>
      <c r="G165" s="3">
        <v>3</v>
      </c>
      <c r="H165" s="3">
        <v>662</v>
      </c>
      <c r="I165">
        <v>561.75</v>
      </c>
      <c r="J165" t="s">
        <v>454</v>
      </c>
      <c r="K165" s="6">
        <v>37.64</v>
      </c>
      <c r="L165" s="6">
        <v>40</v>
      </c>
      <c r="M165" s="5">
        <v>0.94099999999999995</v>
      </c>
      <c r="N165" s="3">
        <v>533</v>
      </c>
      <c r="O165" s="10">
        <v>9</v>
      </c>
      <c r="P165" s="10">
        <v>81</v>
      </c>
      <c r="Q165" s="5">
        <v>0.1111111111111111</v>
      </c>
      <c r="R165" s="5">
        <v>0.19</v>
      </c>
      <c r="S165" s="5">
        <v>0.58479400000000004</v>
      </c>
      <c r="T165" s="3">
        <v>910</v>
      </c>
      <c r="U165" s="10">
        <v>4</v>
      </c>
      <c r="V165" s="10">
        <v>81</v>
      </c>
      <c r="W165" s="5">
        <v>4.9382716049382713E-2</v>
      </c>
      <c r="X165" s="5">
        <v>0.05</v>
      </c>
      <c r="Y165" s="5">
        <v>0.98763999999999996</v>
      </c>
      <c r="Z165" s="3">
        <v>226</v>
      </c>
      <c r="AA165" s="11">
        <v>1.25</v>
      </c>
      <c r="AB165" s="3">
        <v>606</v>
      </c>
      <c r="AC165">
        <v>10</v>
      </c>
      <c r="AD165" s="3">
        <v>1</v>
      </c>
      <c r="AE165">
        <v>0</v>
      </c>
      <c r="AF165">
        <v>16</v>
      </c>
      <c r="AG165" s="5">
        <v>0</v>
      </c>
      <c r="AH165" s="5">
        <v>0.1</v>
      </c>
      <c r="AI165" s="5">
        <v>0</v>
      </c>
      <c r="AJ165" s="3">
        <v>696</v>
      </c>
      <c r="AK165" s="5">
        <v>0.47222199999999998</v>
      </c>
      <c r="AL165" s="5">
        <v>0.4</v>
      </c>
      <c r="AM165" s="5">
        <v>1.180555</v>
      </c>
      <c r="AN165" s="3">
        <v>477</v>
      </c>
      <c r="AO165">
        <v>3</v>
      </c>
      <c r="AP165">
        <v>4</v>
      </c>
      <c r="AQ165" s="5">
        <v>0.75</v>
      </c>
      <c r="AR165" s="5">
        <v>0.8</v>
      </c>
      <c r="AS165" s="5">
        <v>0.9375</v>
      </c>
      <c r="AT165" s="5">
        <v>644</v>
      </c>
    </row>
    <row r="166" spans="1:46" hidden="1">
      <c r="A166" t="str">
        <f>_xlfn.XLOOKUP(Table13[[#This Row],[SAP]],'Location List'!B:B,'Location List'!G:G)</f>
        <v>WEST TEXAS</v>
      </c>
      <c r="B166" t="str">
        <f>LEFT(Table13[[#This Row],[Sap: Loaction]],4)</f>
        <v>930E</v>
      </c>
      <c r="C166" s="4" t="str">
        <f>_xlfn.XLOOKUP(Table13[[#This Row],[Employee]],'Location List'!M:M,'Location List'!N:N,"",0)</f>
        <v>RSM</v>
      </c>
      <c r="D166" t="s">
        <v>973</v>
      </c>
      <c r="E166" t="s">
        <v>738</v>
      </c>
      <c r="F166" t="s">
        <v>552</v>
      </c>
      <c r="G166" s="3">
        <v>3</v>
      </c>
      <c r="H166" s="3">
        <v>665</v>
      </c>
      <c r="I166">
        <v>562.75</v>
      </c>
      <c r="J166" t="s">
        <v>454</v>
      </c>
      <c r="K166" s="6">
        <v>8.31</v>
      </c>
      <c r="L166" s="6">
        <v>40.000000000000007</v>
      </c>
      <c r="M166" s="5">
        <v>0.20774999999999999</v>
      </c>
      <c r="N166" s="3">
        <v>1056</v>
      </c>
      <c r="O166" s="10">
        <v>7</v>
      </c>
      <c r="P166" s="10">
        <v>62</v>
      </c>
      <c r="Q166" s="5">
        <v>0.11290322580645161</v>
      </c>
      <c r="R166" s="5">
        <v>0.19</v>
      </c>
      <c r="S166" s="5">
        <v>0.59422600000000003</v>
      </c>
      <c r="T166" s="3">
        <v>907</v>
      </c>
      <c r="U166" s="10">
        <v>0</v>
      </c>
      <c r="V166" s="10">
        <v>62</v>
      </c>
      <c r="W166" s="5">
        <v>0</v>
      </c>
      <c r="X166" s="5">
        <v>0.05</v>
      </c>
      <c r="Y166" s="5">
        <v>0</v>
      </c>
      <c r="Z166" s="3">
        <v>994</v>
      </c>
      <c r="AA166" s="11">
        <v>2.5</v>
      </c>
      <c r="AB166" s="3">
        <v>129</v>
      </c>
      <c r="AC166">
        <v>7.5</v>
      </c>
      <c r="AD166" s="3">
        <v>43</v>
      </c>
      <c r="AE166">
        <v>5</v>
      </c>
      <c r="AF166">
        <v>14</v>
      </c>
      <c r="AG166" s="5">
        <v>0.35714285714285715</v>
      </c>
      <c r="AH166" s="5">
        <v>0.1</v>
      </c>
      <c r="AI166" s="5">
        <v>3.5714199999999998</v>
      </c>
      <c r="AJ166" s="3">
        <v>107</v>
      </c>
      <c r="AK166" s="5">
        <v>1</v>
      </c>
      <c r="AL166" s="5">
        <v>0.4</v>
      </c>
      <c r="AM166" s="5">
        <v>2.5</v>
      </c>
      <c r="AN166" s="3">
        <v>1</v>
      </c>
      <c r="AO166">
        <v>0</v>
      </c>
      <c r="AP166">
        <v>0</v>
      </c>
      <c r="AQ166" s="5" t="s">
        <v>653</v>
      </c>
      <c r="AR166" s="5">
        <v>0.8</v>
      </c>
      <c r="AS166" s="5">
        <v>0</v>
      </c>
      <c r="AT166" s="5">
        <v>902</v>
      </c>
    </row>
    <row r="167" spans="1:46" hidden="1">
      <c r="A167" t="str">
        <f>_xlfn.XLOOKUP(Table13[[#This Row],[SAP]],'Location List'!B:B,'Location List'!G:G)</f>
        <v>SA/HILL COUNTRY</v>
      </c>
      <c r="B167" t="str">
        <f>LEFT(Table13[[#This Row],[Sap: Loaction]],4)</f>
        <v>1ESD</v>
      </c>
      <c r="C167" s="4" t="str">
        <f>_xlfn.XLOOKUP(Table13[[#This Row],[Employee]],'Location List'!M:M,'Location List'!N:N,"",0)</f>
        <v/>
      </c>
      <c r="D167" t="s">
        <v>973</v>
      </c>
      <c r="E167" t="s">
        <v>991</v>
      </c>
      <c r="F167" t="s">
        <v>573</v>
      </c>
      <c r="G167" s="3">
        <v>3</v>
      </c>
      <c r="H167" s="3">
        <v>668</v>
      </c>
      <c r="I167">
        <v>563.75</v>
      </c>
      <c r="J167" t="s">
        <v>454</v>
      </c>
      <c r="K167" s="6">
        <v>60.09</v>
      </c>
      <c r="L167" s="6">
        <v>40</v>
      </c>
      <c r="M167" s="5">
        <v>1.5022500000000001</v>
      </c>
      <c r="N167" s="3">
        <v>233</v>
      </c>
      <c r="O167" s="10">
        <v>12</v>
      </c>
      <c r="P167" s="10">
        <v>93</v>
      </c>
      <c r="Q167" s="5">
        <v>0.12903225806451613</v>
      </c>
      <c r="R167" s="5">
        <v>0.19</v>
      </c>
      <c r="S167" s="5">
        <v>0.67911500000000002</v>
      </c>
      <c r="T167" s="3">
        <v>810</v>
      </c>
      <c r="U167" s="10">
        <v>3</v>
      </c>
      <c r="V167" s="10">
        <v>93</v>
      </c>
      <c r="W167" s="5">
        <v>3.2258064516129031E-2</v>
      </c>
      <c r="X167" s="5">
        <v>0.05</v>
      </c>
      <c r="Y167" s="5">
        <v>0.64515999999999996</v>
      </c>
      <c r="Z167" s="3">
        <v>415</v>
      </c>
      <c r="AA167" s="11">
        <v>0.8</v>
      </c>
      <c r="AB167" s="3">
        <v>958</v>
      </c>
      <c r="AC167">
        <v>10</v>
      </c>
      <c r="AD167" s="3">
        <v>1</v>
      </c>
      <c r="AE167">
        <v>0</v>
      </c>
      <c r="AF167">
        <v>19</v>
      </c>
      <c r="AG167" s="5">
        <v>0</v>
      </c>
      <c r="AH167" s="5">
        <v>0.1</v>
      </c>
      <c r="AI167" s="5">
        <v>0</v>
      </c>
      <c r="AJ167" s="3">
        <v>696</v>
      </c>
      <c r="AK167" s="5">
        <v>0.4375</v>
      </c>
      <c r="AL167" s="5">
        <v>0.4</v>
      </c>
      <c r="AM167" s="5">
        <v>1.09375</v>
      </c>
      <c r="AN167" s="3">
        <v>516</v>
      </c>
      <c r="AO167">
        <v>5</v>
      </c>
      <c r="AP167">
        <v>9</v>
      </c>
      <c r="AQ167" s="5">
        <v>0.55555555555555558</v>
      </c>
      <c r="AR167" s="5">
        <v>0.8</v>
      </c>
      <c r="AS167" s="5">
        <v>0.69444300000000003</v>
      </c>
      <c r="AT167" s="5">
        <v>734</v>
      </c>
    </row>
    <row r="168" spans="1:46" hidden="1">
      <c r="A168" t="str">
        <f>_xlfn.XLOOKUP(Table13[[#This Row],[SAP]],'Location List'!B:B,'Location List'!G:G)</f>
        <v>KS/OK</v>
      </c>
      <c r="B168" t="str">
        <f>LEFT(Table13[[#This Row],[Sap: Loaction]],4)</f>
        <v>5280</v>
      </c>
      <c r="C168" s="4" t="str">
        <f>_xlfn.XLOOKUP(Table13[[#This Row],[Employee]],'Location List'!M:M,'Location List'!N:N,"",0)</f>
        <v>RSM</v>
      </c>
      <c r="D168" t="s">
        <v>973</v>
      </c>
      <c r="E168" t="s">
        <v>926</v>
      </c>
      <c r="F168" t="s">
        <v>494</v>
      </c>
      <c r="G168" s="3">
        <v>3</v>
      </c>
      <c r="H168" s="3">
        <v>671</v>
      </c>
      <c r="I168">
        <v>564.15</v>
      </c>
      <c r="J168" t="s">
        <v>454</v>
      </c>
      <c r="K168" s="6">
        <v>14.19</v>
      </c>
      <c r="L168" s="6">
        <v>40</v>
      </c>
      <c r="M168" s="5">
        <v>0.35475000000000001</v>
      </c>
      <c r="N168" s="3">
        <v>957</v>
      </c>
      <c r="O168" s="10">
        <v>5</v>
      </c>
      <c r="P168" s="10">
        <v>37</v>
      </c>
      <c r="Q168" s="5">
        <v>0.13513513513513514</v>
      </c>
      <c r="R168" s="5">
        <v>0.19</v>
      </c>
      <c r="S168" s="5">
        <v>0.71123599999999998</v>
      </c>
      <c r="T168" s="3">
        <v>774</v>
      </c>
      <c r="U168" s="10">
        <v>1</v>
      </c>
      <c r="V168" s="10">
        <v>37</v>
      </c>
      <c r="W168" s="5">
        <v>2.7027027027027029E-2</v>
      </c>
      <c r="X168" s="5">
        <v>0.05</v>
      </c>
      <c r="Y168" s="5">
        <v>0.54054000000000002</v>
      </c>
      <c r="Z168" s="3">
        <v>500</v>
      </c>
      <c r="AA168" s="11">
        <v>2</v>
      </c>
      <c r="AB168" s="3">
        <v>210</v>
      </c>
      <c r="AC168">
        <v>10</v>
      </c>
      <c r="AD168" s="3">
        <v>1</v>
      </c>
      <c r="AE168">
        <v>0</v>
      </c>
      <c r="AF168">
        <v>9</v>
      </c>
      <c r="AG168" s="5">
        <v>0</v>
      </c>
      <c r="AH168" s="5">
        <v>0.1</v>
      </c>
      <c r="AI168" s="5">
        <v>0</v>
      </c>
      <c r="AJ168" s="3">
        <v>696</v>
      </c>
      <c r="AK168" s="5">
        <v>1</v>
      </c>
      <c r="AL168" s="5">
        <v>0.4</v>
      </c>
      <c r="AM168" s="5">
        <v>2.5</v>
      </c>
      <c r="AN168" s="3">
        <v>1</v>
      </c>
      <c r="AO168">
        <v>0</v>
      </c>
      <c r="AP168">
        <v>0</v>
      </c>
      <c r="AQ168" s="5" t="s">
        <v>653</v>
      </c>
      <c r="AR168" s="5">
        <v>0.8</v>
      </c>
      <c r="AS168" s="5">
        <v>0</v>
      </c>
      <c r="AT168" s="5">
        <v>902</v>
      </c>
    </row>
    <row r="169" spans="1:46" hidden="1">
      <c r="A169" t="str">
        <f>_xlfn.XLOOKUP(Table13[[#This Row],[SAP]],'Location List'!B:B,'Location List'!G:G)</f>
        <v>KS/OK</v>
      </c>
      <c r="B169" t="str">
        <f>LEFT(Table13[[#This Row],[Sap: Loaction]],4)</f>
        <v>990F</v>
      </c>
      <c r="C169" s="4" t="str">
        <f>_xlfn.XLOOKUP(Table13[[#This Row],[Employee]],'Location List'!M:M,'Location List'!N:N,"",0)</f>
        <v/>
      </c>
      <c r="D169" t="s">
        <v>973</v>
      </c>
      <c r="E169" t="s">
        <v>788</v>
      </c>
      <c r="F169" t="s">
        <v>522</v>
      </c>
      <c r="G169" s="3">
        <v>3</v>
      </c>
      <c r="H169" s="3">
        <v>684</v>
      </c>
      <c r="I169">
        <v>568.75</v>
      </c>
      <c r="J169" t="s">
        <v>454</v>
      </c>
      <c r="K169" s="6">
        <v>10.39</v>
      </c>
      <c r="L169" s="6">
        <v>40.000000000000007</v>
      </c>
      <c r="M169" s="5">
        <v>0.25974999999999998</v>
      </c>
      <c r="N169" s="3">
        <v>1028</v>
      </c>
      <c r="O169" s="10">
        <v>11</v>
      </c>
      <c r="P169" s="10">
        <v>48</v>
      </c>
      <c r="Q169" s="5">
        <v>0.22916666666666666</v>
      </c>
      <c r="R169" s="5">
        <v>0.19</v>
      </c>
      <c r="S169" s="5">
        <v>1.2061360000000001</v>
      </c>
      <c r="T169" s="3">
        <v>354</v>
      </c>
      <c r="U169" s="10">
        <v>1</v>
      </c>
      <c r="V169" s="10">
        <v>48</v>
      </c>
      <c r="W169" s="5">
        <v>2.0833333333333332E-2</v>
      </c>
      <c r="X169" s="5">
        <v>0.05</v>
      </c>
      <c r="Y169" s="5">
        <v>0.41665999999999997</v>
      </c>
      <c r="Z169" s="3">
        <v>635</v>
      </c>
      <c r="AA169" s="11">
        <v>0.85714199999999996</v>
      </c>
      <c r="AB169" s="3">
        <v>905</v>
      </c>
      <c r="AC169">
        <v>10</v>
      </c>
      <c r="AD169" s="3">
        <v>1</v>
      </c>
      <c r="AE169">
        <v>2</v>
      </c>
      <c r="AF169">
        <v>7</v>
      </c>
      <c r="AG169" s="5">
        <v>0.2857142857142857</v>
      </c>
      <c r="AH169" s="5">
        <v>0.1</v>
      </c>
      <c r="AI169" s="5">
        <v>2.8571399999999998</v>
      </c>
      <c r="AJ169" s="3">
        <v>161</v>
      </c>
      <c r="AK169" s="5">
        <v>0.3</v>
      </c>
      <c r="AL169" s="5">
        <v>0.4</v>
      </c>
      <c r="AM169" s="5">
        <v>0.75</v>
      </c>
      <c r="AN169" s="3">
        <v>753</v>
      </c>
      <c r="AO169">
        <v>0</v>
      </c>
      <c r="AP169">
        <v>0</v>
      </c>
      <c r="AQ169" s="5" t="s">
        <v>653</v>
      </c>
      <c r="AR169" s="5">
        <v>0.8</v>
      </c>
      <c r="AS169" s="5">
        <v>0</v>
      </c>
      <c r="AT169" s="5">
        <v>902</v>
      </c>
    </row>
    <row r="170" spans="1:46" hidden="1">
      <c r="A170" t="str">
        <f>_xlfn.XLOOKUP(Table13[[#This Row],[SAP]],'Location List'!B:B,'Location List'!G:G)</f>
        <v>DFW NORTH</v>
      </c>
      <c r="B170" t="str">
        <f>LEFT(Table13[[#This Row],[Sap: Loaction]],4)</f>
        <v>465D</v>
      </c>
      <c r="C170" s="4" t="str">
        <f>_xlfn.XLOOKUP(Table13[[#This Row],[Employee]],'Location List'!M:M,'Location List'!N:N,"",0)</f>
        <v/>
      </c>
      <c r="D170" t="s">
        <v>973</v>
      </c>
      <c r="E170" t="s">
        <v>672</v>
      </c>
      <c r="F170" t="s">
        <v>551</v>
      </c>
      <c r="G170" s="3">
        <v>3</v>
      </c>
      <c r="H170" s="3">
        <v>688</v>
      </c>
      <c r="I170">
        <v>569.65</v>
      </c>
      <c r="J170" t="s">
        <v>454</v>
      </c>
      <c r="K170" s="6">
        <v>46.21</v>
      </c>
      <c r="L170" s="6">
        <v>40</v>
      </c>
      <c r="M170" s="5">
        <v>1.1552500000000001</v>
      </c>
      <c r="N170" s="3">
        <v>403</v>
      </c>
      <c r="O170" s="10">
        <v>8</v>
      </c>
      <c r="P170" s="10">
        <v>44</v>
      </c>
      <c r="Q170" s="5">
        <v>0.18181818181818182</v>
      </c>
      <c r="R170" s="5">
        <v>0.19</v>
      </c>
      <c r="S170" s="5">
        <v>0.95693600000000001</v>
      </c>
      <c r="T170" s="3">
        <v>534</v>
      </c>
      <c r="U170" s="10">
        <v>0</v>
      </c>
      <c r="V170" s="10">
        <v>44</v>
      </c>
      <c r="W170" s="5">
        <v>0</v>
      </c>
      <c r="X170" s="5">
        <v>0.05</v>
      </c>
      <c r="Y170" s="5">
        <v>0</v>
      </c>
      <c r="Z170" s="3">
        <v>994</v>
      </c>
      <c r="AA170" s="11">
        <v>1.5</v>
      </c>
      <c r="AB170" s="3">
        <v>432</v>
      </c>
      <c r="AC170">
        <v>10</v>
      </c>
      <c r="AD170" s="3">
        <v>1</v>
      </c>
      <c r="AE170">
        <v>0</v>
      </c>
      <c r="AF170">
        <v>11</v>
      </c>
      <c r="AG170" s="5">
        <v>0</v>
      </c>
      <c r="AH170" s="5">
        <v>0.1</v>
      </c>
      <c r="AI170" s="5">
        <v>0</v>
      </c>
      <c r="AJ170" s="3">
        <v>696</v>
      </c>
      <c r="AK170" s="5">
        <v>0.25</v>
      </c>
      <c r="AL170" s="5">
        <v>0.4</v>
      </c>
      <c r="AM170" s="5">
        <v>0.625</v>
      </c>
      <c r="AN170" s="3">
        <v>812</v>
      </c>
      <c r="AO170">
        <v>1</v>
      </c>
      <c r="AP170">
        <v>2</v>
      </c>
      <c r="AQ170" s="5">
        <v>0.5</v>
      </c>
      <c r="AR170" s="5">
        <v>0.8</v>
      </c>
      <c r="AS170" s="5">
        <v>0.625</v>
      </c>
      <c r="AT170" s="5">
        <v>741</v>
      </c>
    </row>
    <row r="171" spans="1:46">
      <c r="A171" t="str">
        <f>_xlfn.XLOOKUP(Table13[[#This Row],[SAP]],'Location List'!B:B,'Location List'!G:G)</f>
        <v>CENTRAL TEXAS</v>
      </c>
      <c r="B171" t="str">
        <f>LEFT(Table13[[#This Row],[Sap: Loaction]],4)</f>
        <v>1FSC</v>
      </c>
      <c r="C171" s="4" t="str">
        <f>_xlfn.XLOOKUP(Table13[[#This Row],[Employee]],'Location List'!M:M,'Location List'!N:N,"",0)</f>
        <v/>
      </c>
      <c r="D171" t="s">
        <v>973</v>
      </c>
      <c r="E171" t="s">
        <v>750</v>
      </c>
      <c r="F171" t="s">
        <v>524</v>
      </c>
      <c r="G171" s="3">
        <v>3</v>
      </c>
      <c r="H171" s="3">
        <v>692</v>
      </c>
      <c r="I171">
        <v>570.35</v>
      </c>
      <c r="J171" t="s">
        <v>454</v>
      </c>
      <c r="K171" s="6">
        <v>-9.83</v>
      </c>
      <c r="L171" s="6">
        <v>40</v>
      </c>
      <c r="M171" s="5">
        <v>-0.24575</v>
      </c>
      <c r="N171" s="3">
        <v>1331</v>
      </c>
      <c r="O171" s="10">
        <v>4</v>
      </c>
      <c r="P171" s="10">
        <v>55</v>
      </c>
      <c r="Q171" s="5">
        <v>7.2727272727272724E-2</v>
      </c>
      <c r="R171" s="5">
        <v>0.19</v>
      </c>
      <c r="S171" s="5">
        <v>0.38277299999999997</v>
      </c>
      <c r="T171" s="3">
        <v>1135</v>
      </c>
      <c r="U171" s="10">
        <v>4</v>
      </c>
      <c r="V171" s="10">
        <v>55</v>
      </c>
      <c r="W171" s="5">
        <v>7.2727272727272724E-2</v>
      </c>
      <c r="X171" s="5">
        <v>0.05</v>
      </c>
      <c r="Y171" s="5">
        <v>1.4545399999999999</v>
      </c>
      <c r="Z171" s="3">
        <v>81</v>
      </c>
      <c r="AA171" s="11">
        <v>1.75</v>
      </c>
      <c r="AB171" s="3">
        <v>324</v>
      </c>
      <c r="AC171">
        <v>10</v>
      </c>
      <c r="AD171" s="3">
        <v>1</v>
      </c>
      <c r="AE171">
        <v>1</v>
      </c>
      <c r="AF171">
        <v>14</v>
      </c>
      <c r="AG171" s="5">
        <v>7.1428571428571425E-2</v>
      </c>
      <c r="AH171" s="5">
        <v>0.1</v>
      </c>
      <c r="AI171" s="5">
        <v>0.71428000000000003</v>
      </c>
      <c r="AJ171" s="3">
        <v>574</v>
      </c>
      <c r="AK171" s="5">
        <v>0.66666599999999998</v>
      </c>
      <c r="AL171" s="5">
        <v>0.4</v>
      </c>
      <c r="AM171" s="5">
        <v>1.6666650000000001</v>
      </c>
      <c r="AN171" s="3">
        <v>169</v>
      </c>
      <c r="AO171">
        <v>1</v>
      </c>
      <c r="AP171">
        <v>1</v>
      </c>
      <c r="AQ171" s="5">
        <v>1</v>
      </c>
      <c r="AR171" s="5">
        <v>0.8</v>
      </c>
      <c r="AS171" s="5">
        <v>1.25</v>
      </c>
      <c r="AT171" s="5">
        <v>1</v>
      </c>
    </row>
    <row r="172" spans="1:46" hidden="1">
      <c r="A172" t="str">
        <f>_xlfn.XLOOKUP(Table13[[#This Row],[SAP]],'Location List'!B:B,'Location List'!G:G)</f>
        <v>SOUTH TX/RGV</v>
      </c>
      <c r="B172" t="str">
        <f>LEFT(Table13[[#This Row],[Sap: Loaction]],4)</f>
        <v>2584</v>
      </c>
      <c r="C172" s="4" t="str">
        <f>_xlfn.XLOOKUP(Table13[[#This Row],[Employee]],'Location List'!M:M,'Location List'!N:N,"",0)</f>
        <v/>
      </c>
      <c r="D172" t="s">
        <v>973</v>
      </c>
      <c r="E172" t="s">
        <v>810</v>
      </c>
      <c r="F172" t="s">
        <v>498</v>
      </c>
      <c r="G172" s="3">
        <v>3</v>
      </c>
      <c r="H172" s="3">
        <v>693</v>
      </c>
      <c r="I172">
        <v>570.5</v>
      </c>
      <c r="J172" t="s">
        <v>454</v>
      </c>
      <c r="K172" s="6">
        <v>61.75</v>
      </c>
      <c r="L172" s="6">
        <v>40</v>
      </c>
      <c r="M172" s="5">
        <v>1.54375</v>
      </c>
      <c r="N172" s="3">
        <v>216</v>
      </c>
      <c r="O172" s="10">
        <v>17</v>
      </c>
      <c r="P172" s="10">
        <v>75</v>
      </c>
      <c r="Q172" s="5">
        <v>0.22666666666666666</v>
      </c>
      <c r="R172" s="5">
        <v>0.19</v>
      </c>
      <c r="S172" s="5">
        <v>1.1929780000000001</v>
      </c>
      <c r="T172" s="3">
        <v>368</v>
      </c>
      <c r="U172" s="10">
        <v>1</v>
      </c>
      <c r="V172" s="10">
        <v>75</v>
      </c>
      <c r="W172" s="5">
        <v>1.3333333333333334E-2</v>
      </c>
      <c r="X172" s="5">
        <v>0.05</v>
      </c>
      <c r="Y172" s="5">
        <v>0.26666000000000001</v>
      </c>
      <c r="Z172" s="3">
        <v>850</v>
      </c>
      <c r="AA172" s="11">
        <v>9.0909000000000004E-2</v>
      </c>
      <c r="AB172" s="3">
        <v>1351</v>
      </c>
      <c r="AC172">
        <v>9.5</v>
      </c>
      <c r="AD172" s="3">
        <v>14</v>
      </c>
      <c r="AE172">
        <v>0</v>
      </c>
      <c r="AF172">
        <v>17</v>
      </c>
      <c r="AG172" s="5">
        <v>0</v>
      </c>
      <c r="AH172" s="5">
        <v>0.1</v>
      </c>
      <c r="AI172" s="5">
        <v>0</v>
      </c>
      <c r="AJ172" s="3">
        <v>696</v>
      </c>
      <c r="AK172" s="5">
        <v>0.46428566666666665</v>
      </c>
      <c r="AL172" s="5">
        <v>0.4</v>
      </c>
      <c r="AM172" s="5">
        <v>1.160712</v>
      </c>
      <c r="AN172" s="3">
        <v>484</v>
      </c>
      <c r="AO172">
        <v>0</v>
      </c>
      <c r="AP172">
        <v>5</v>
      </c>
      <c r="AQ172" s="5">
        <v>0</v>
      </c>
      <c r="AR172" s="5">
        <v>0.8</v>
      </c>
      <c r="AS172" s="5">
        <v>0</v>
      </c>
      <c r="AT172" s="5">
        <v>902</v>
      </c>
    </row>
    <row r="173" spans="1:46" hidden="1">
      <c r="A173" t="str">
        <f>_xlfn.XLOOKUP(Table13[[#This Row],[SAP]],'Location List'!B:B,'Location List'!G:G)</f>
        <v>SA/HILL COUNTRY</v>
      </c>
      <c r="B173" t="str">
        <f>LEFT(Table13[[#This Row],[Sap: Loaction]],4)</f>
        <v>1DSW</v>
      </c>
      <c r="C173" s="4" t="str">
        <f>_xlfn.XLOOKUP(Table13[[#This Row],[Employee]],'Location List'!M:M,'Location List'!N:N,"",0)</f>
        <v/>
      </c>
      <c r="D173" t="s">
        <v>973</v>
      </c>
      <c r="E173" t="s">
        <v>617</v>
      </c>
      <c r="F173" t="s">
        <v>500</v>
      </c>
      <c r="G173" s="3">
        <v>3</v>
      </c>
      <c r="H173" s="3">
        <v>696</v>
      </c>
      <c r="I173">
        <v>572</v>
      </c>
      <c r="J173" t="s">
        <v>454</v>
      </c>
      <c r="K173" s="6">
        <v>34.44</v>
      </c>
      <c r="L173" s="6">
        <v>40</v>
      </c>
      <c r="M173" s="5">
        <v>0.86099999999999999</v>
      </c>
      <c r="N173" s="3">
        <v>596</v>
      </c>
      <c r="O173" s="10">
        <v>14</v>
      </c>
      <c r="P173" s="10">
        <v>81</v>
      </c>
      <c r="Q173" s="5">
        <v>0.1728395061728395</v>
      </c>
      <c r="R173" s="5">
        <v>0.19</v>
      </c>
      <c r="S173" s="5">
        <v>0.90967799999999999</v>
      </c>
      <c r="T173" s="3">
        <v>577</v>
      </c>
      <c r="U173" s="10">
        <v>1</v>
      </c>
      <c r="V173" s="10">
        <v>81</v>
      </c>
      <c r="W173" s="5">
        <v>1.2345679012345678E-2</v>
      </c>
      <c r="X173" s="5">
        <v>0.05</v>
      </c>
      <c r="Y173" s="5">
        <v>0.24690000000000001</v>
      </c>
      <c r="Z173" s="3">
        <v>878</v>
      </c>
      <c r="AA173" s="11">
        <v>1.2</v>
      </c>
      <c r="AB173" s="3">
        <v>641</v>
      </c>
      <c r="AC173">
        <v>6</v>
      </c>
      <c r="AD173" s="3">
        <v>55</v>
      </c>
      <c r="AE173">
        <v>1</v>
      </c>
      <c r="AF173">
        <v>5</v>
      </c>
      <c r="AG173" s="5">
        <v>0.2</v>
      </c>
      <c r="AH173" s="5">
        <v>0.1</v>
      </c>
      <c r="AI173" s="5">
        <v>2</v>
      </c>
      <c r="AJ173" s="3">
        <v>256</v>
      </c>
      <c r="AK173" s="5">
        <v>0.25</v>
      </c>
      <c r="AL173" s="5">
        <v>0.4</v>
      </c>
      <c r="AM173" s="5">
        <v>0.625</v>
      </c>
      <c r="AN173" s="3">
        <v>812</v>
      </c>
      <c r="AO173">
        <v>0</v>
      </c>
      <c r="AP173">
        <v>0</v>
      </c>
      <c r="AQ173" s="5" t="s">
        <v>653</v>
      </c>
      <c r="AR173" s="5">
        <v>0.8</v>
      </c>
      <c r="AS173" s="5">
        <v>0</v>
      </c>
      <c r="AT173" s="5">
        <v>902</v>
      </c>
    </row>
    <row r="174" spans="1:46">
      <c r="A174" t="str">
        <f>_xlfn.XLOOKUP(Table13[[#This Row],[SAP]],'Location List'!B:B,'Location List'!G:G)</f>
        <v>MO/IA/NE</v>
      </c>
      <c r="B174" t="str">
        <f>LEFT(Table13[[#This Row],[Sap: Loaction]],4)</f>
        <v>4BSP</v>
      </c>
      <c r="C174" s="4" t="str">
        <f>_xlfn.XLOOKUP(Table13[[#This Row],[Employee]],'Location List'!M:M,'Location List'!N:N,"",0)</f>
        <v>RSM</v>
      </c>
      <c r="D174" t="s">
        <v>973</v>
      </c>
      <c r="E174" t="s">
        <v>745</v>
      </c>
      <c r="F174" t="s">
        <v>569</v>
      </c>
      <c r="G174" s="3">
        <v>3</v>
      </c>
      <c r="H174" s="3">
        <v>697</v>
      </c>
      <c r="I174">
        <v>572.04999999999995</v>
      </c>
      <c r="J174" t="s">
        <v>454</v>
      </c>
      <c r="K174" s="6">
        <v>25.5</v>
      </c>
      <c r="L174" s="6">
        <v>30</v>
      </c>
      <c r="M174" s="5">
        <v>0.85</v>
      </c>
      <c r="N174" s="3">
        <v>604</v>
      </c>
      <c r="O174" s="10">
        <v>4</v>
      </c>
      <c r="P174" s="10">
        <v>110</v>
      </c>
      <c r="Q174" s="5">
        <v>3.6363636363636362E-2</v>
      </c>
      <c r="R174" s="5">
        <v>0.19</v>
      </c>
      <c r="S174" s="5">
        <v>0.191384</v>
      </c>
      <c r="T174" s="3">
        <v>1269</v>
      </c>
      <c r="U174" s="10">
        <v>3</v>
      </c>
      <c r="V174" s="10">
        <v>110</v>
      </c>
      <c r="W174" s="5">
        <v>2.7272727272727271E-2</v>
      </c>
      <c r="X174" s="5">
        <v>0.05</v>
      </c>
      <c r="Y174" s="5">
        <v>0.54544000000000004</v>
      </c>
      <c r="Z174" s="3">
        <v>498</v>
      </c>
      <c r="AA174" s="11">
        <v>2.125</v>
      </c>
      <c r="AB174" s="3">
        <v>200</v>
      </c>
      <c r="AC174">
        <v>10</v>
      </c>
      <c r="AD174" s="3">
        <v>1</v>
      </c>
      <c r="AE174">
        <v>3</v>
      </c>
      <c r="AF174">
        <v>13</v>
      </c>
      <c r="AG174" s="5">
        <v>0.23076923076923078</v>
      </c>
      <c r="AH174" s="5">
        <v>0.1</v>
      </c>
      <c r="AI174" s="5">
        <v>2.30769</v>
      </c>
      <c r="AJ174" s="3">
        <v>233</v>
      </c>
      <c r="AK174" s="5">
        <v>0.5</v>
      </c>
      <c r="AL174" s="5">
        <v>0.4</v>
      </c>
      <c r="AM174" s="5">
        <v>1.25</v>
      </c>
      <c r="AN174" s="3">
        <v>326</v>
      </c>
      <c r="AO174">
        <v>0</v>
      </c>
      <c r="AP174">
        <v>0</v>
      </c>
      <c r="AQ174" s="5" t="s">
        <v>653</v>
      </c>
      <c r="AR174" s="5">
        <v>0.8</v>
      </c>
      <c r="AS174" s="5">
        <v>0</v>
      </c>
      <c r="AT174" s="5">
        <v>902</v>
      </c>
    </row>
    <row r="175" spans="1:46">
      <c r="A175" t="str">
        <f>_xlfn.XLOOKUP(Table13[[#This Row],[SAP]],'Location List'!B:B,'Location List'!G:G)</f>
        <v>SA SOUTH</v>
      </c>
      <c r="B175" t="str">
        <f>LEFT(Table13[[#This Row],[Sap: Loaction]],4)</f>
        <v>5441</v>
      </c>
      <c r="C175" s="4" t="str">
        <f>_xlfn.XLOOKUP(Table13[[#This Row],[Employee]],'Location List'!M:M,'Location List'!N:N,"",0)</f>
        <v/>
      </c>
      <c r="D175" t="s">
        <v>973</v>
      </c>
      <c r="E175" t="s">
        <v>865</v>
      </c>
      <c r="F175" t="s">
        <v>535</v>
      </c>
      <c r="G175" s="3">
        <v>3</v>
      </c>
      <c r="H175" s="3">
        <v>699</v>
      </c>
      <c r="I175">
        <v>572.79999999999995</v>
      </c>
      <c r="J175" t="s">
        <v>454</v>
      </c>
      <c r="K175" s="6">
        <v>31.63</v>
      </c>
      <c r="L175" s="6">
        <v>40</v>
      </c>
      <c r="M175" s="5">
        <v>0.79074999999999995</v>
      </c>
      <c r="N175" s="3">
        <v>646</v>
      </c>
      <c r="O175" s="10">
        <v>13</v>
      </c>
      <c r="P175" s="10">
        <v>104</v>
      </c>
      <c r="Q175" s="5">
        <v>0.125</v>
      </c>
      <c r="R175" s="5">
        <v>0.19</v>
      </c>
      <c r="S175" s="5">
        <v>0.65789399999999998</v>
      </c>
      <c r="T175" s="3">
        <v>832</v>
      </c>
      <c r="U175" s="10">
        <v>4</v>
      </c>
      <c r="V175" s="10">
        <v>104</v>
      </c>
      <c r="W175" s="5">
        <v>3.8461538461538464E-2</v>
      </c>
      <c r="X175" s="5">
        <v>0.05</v>
      </c>
      <c r="Y175" s="5">
        <v>0.76922000000000001</v>
      </c>
      <c r="Z175" s="3">
        <v>343</v>
      </c>
      <c r="AA175" s="11">
        <v>0.5</v>
      </c>
      <c r="AB175" s="3">
        <v>1172</v>
      </c>
      <c r="AC175">
        <v>10</v>
      </c>
      <c r="AD175" s="3">
        <v>1</v>
      </c>
      <c r="AE175">
        <v>1</v>
      </c>
      <c r="AF175">
        <v>10</v>
      </c>
      <c r="AG175" s="5">
        <v>0.1</v>
      </c>
      <c r="AH175" s="5">
        <v>0.1</v>
      </c>
      <c r="AI175" s="5">
        <v>1</v>
      </c>
      <c r="AJ175" s="3">
        <v>486</v>
      </c>
      <c r="AK175" s="5">
        <v>0.83333299999999999</v>
      </c>
      <c r="AL175" s="5">
        <v>0.4</v>
      </c>
      <c r="AM175" s="5">
        <v>2.083332</v>
      </c>
      <c r="AN175" s="3">
        <v>109</v>
      </c>
      <c r="AO175">
        <v>1</v>
      </c>
      <c r="AP175">
        <v>2</v>
      </c>
      <c r="AQ175" s="5">
        <v>0.5</v>
      </c>
      <c r="AR175" s="5">
        <v>0.8</v>
      </c>
      <c r="AS175" s="5">
        <v>0.625</v>
      </c>
      <c r="AT175" s="5">
        <v>741</v>
      </c>
    </row>
    <row r="176" spans="1:46" hidden="1">
      <c r="A176" t="str">
        <f>_xlfn.XLOOKUP(Table13[[#This Row],[SAP]],'Location List'!B:B,'Location List'!G:G)</f>
        <v>CENTRAL TEXAS</v>
      </c>
      <c r="B176" t="str">
        <f>LEFT(Table13[[#This Row],[Sap: Loaction]],4)</f>
        <v>545D</v>
      </c>
      <c r="C176" s="4" t="str">
        <f>_xlfn.XLOOKUP(Table13[[#This Row],[Employee]],'Location List'!M:M,'Location List'!N:N,"",0)</f>
        <v>RSM</v>
      </c>
      <c r="D176" t="s">
        <v>973</v>
      </c>
      <c r="E176" t="s">
        <v>644</v>
      </c>
      <c r="F176" t="s">
        <v>496</v>
      </c>
      <c r="G176" s="3">
        <v>3</v>
      </c>
      <c r="H176" s="3">
        <v>705</v>
      </c>
      <c r="I176">
        <v>574.1</v>
      </c>
      <c r="J176" t="s">
        <v>454</v>
      </c>
      <c r="K176" s="6">
        <v>5.39</v>
      </c>
      <c r="L176" s="6">
        <v>35</v>
      </c>
      <c r="M176" s="5">
        <v>0.154</v>
      </c>
      <c r="N176" s="3">
        <v>1099</v>
      </c>
      <c r="O176" s="10">
        <v>6</v>
      </c>
      <c r="P176" s="10">
        <v>54</v>
      </c>
      <c r="Q176" s="5">
        <v>0.1111111111111111</v>
      </c>
      <c r="R176" s="5">
        <v>0.19</v>
      </c>
      <c r="S176" s="5">
        <v>0.58479400000000004</v>
      </c>
      <c r="T176" s="3">
        <v>910</v>
      </c>
      <c r="U176" s="10">
        <v>5</v>
      </c>
      <c r="V176" s="10">
        <v>54</v>
      </c>
      <c r="W176" s="5">
        <v>9.2592592592592587E-2</v>
      </c>
      <c r="X176" s="5">
        <v>0.05</v>
      </c>
      <c r="Y176" s="5">
        <v>1.8518399999999999</v>
      </c>
      <c r="Z176" s="3">
        <v>32</v>
      </c>
      <c r="AA176" s="11">
        <v>0.75</v>
      </c>
      <c r="AB176" s="3">
        <v>992</v>
      </c>
      <c r="AC176">
        <v>10</v>
      </c>
      <c r="AD176" s="3">
        <v>1</v>
      </c>
      <c r="AE176">
        <v>2</v>
      </c>
      <c r="AF176">
        <v>8</v>
      </c>
      <c r="AG176" s="5">
        <v>0.25</v>
      </c>
      <c r="AH176" s="5">
        <v>0.1</v>
      </c>
      <c r="AI176" s="5">
        <v>2.5</v>
      </c>
      <c r="AJ176" s="3">
        <v>191</v>
      </c>
      <c r="AK176" s="5">
        <v>0.1666665</v>
      </c>
      <c r="AL176" s="5">
        <v>0.4</v>
      </c>
      <c r="AM176" s="5">
        <v>0.41666500000000001</v>
      </c>
      <c r="AN176" s="3">
        <v>960</v>
      </c>
      <c r="AO176">
        <v>3</v>
      </c>
      <c r="AP176">
        <v>3</v>
      </c>
      <c r="AQ176" s="5">
        <v>1</v>
      </c>
      <c r="AR176" s="5">
        <v>0.8</v>
      </c>
      <c r="AS176" s="5">
        <v>1.25</v>
      </c>
      <c r="AT176" s="5">
        <v>1</v>
      </c>
    </row>
    <row r="177" spans="1:46" hidden="1">
      <c r="A177" t="str">
        <f>_xlfn.XLOOKUP(Table13[[#This Row],[SAP]],'Location List'!B:B,'Location List'!G:G)</f>
        <v>KS/OK</v>
      </c>
      <c r="B177" t="str">
        <f>LEFT(Table13[[#This Row],[Sap: Loaction]],4)</f>
        <v>849C</v>
      </c>
      <c r="C177" s="4" t="str">
        <f>_xlfn.XLOOKUP(Table13[[#This Row],[Employee]],'Location List'!M:M,'Location List'!N:N,"",0)</f>
        <v/>
      </c>
      <c r="D177" t="s">
        <v>973</v>
      </c>
      <c r="E177" t="s">
        <v>766</v>
      </c>
      <c r="F177" t="s">
        <v>526</v>
      </c>
      <c r="G177" s="3">
        <v>3</v>
      </c>
      <c r="H177" s="3">
        <v>708</v>
      </c>
      <c r="I177">
        <v>575.25</v>
      </c>
      <c r="J177" t="s">
        <v>454</v>
      </c>
      <c r="K177" s="6">
        <v>28.43</v>
      </c>
      <c r="L177" s="6">
        <v>40</v>
      </c>
      <c r="M177" s="5">
        <v>0.71074999999999999</v>
      </c>
      <c r="N177" s="3">
        <v>703</v>
      </c>
      <c r="O177" s="10">
        <v>14</v>
      </c>
      <c r="P177" s="10">
        <v>83</v>
      </c>
      <c r="Q177" s="5">
        <v>0.16867469879518071</v>
      </c>
      <c r="R177" s="5">
        <v>0.19</v>
      </c>
      <c r="S177" s="5">
        <v>0.88775700000000002</v>
      </c>
      <c r="T177" s="3">
        <v>603</v>
      </c>
      <c r="U177" s="10">
        <v>0</v>
      </c>
      <c r="V177" s="10">
        <v>83</v>
      </c>
      <c r="W177" s="5">
        <v>0</v>
      </c>
      <c r="X177" s="5">
        <v>0.05</v>
      </c>
      <c r="Y177" s="5">
        <v>0</v>
      </c>
      <c r="Z177" s="3">
        <v>994</v>
      </c>
      <c r="AA177" s="11">
        <v>1.8888879999999999</v>
      </c>
      <c r="AB177" s="3">
        <v>287</v>
      </c>
      <c r="AC177">
        <v>5.2</v>
      </c>
      <c r="AD177" s="3">
        <v>61</v>
      </c>
      <c r="AE177">
        <v>0</v>
      </c>
      <c r="AF177">
        <v>16</v>
      </c>
      <c r="AG177" s="5">
        <v>0</v>
      </c>
      <c r="AH177" s="5">
        <v>0.1</v>
      </c>
      <c r="AI177" s="5">
        <v>0</v>
      </c>
      <c r="AJ177" s="3">
        <v>696</v>
      </c>
      <c r="AK177" s="5">
        <v>0.57142800000000005</v>
      </c>
      <c r="AL177" s="5">
        <v>0.4</v>
      </c>
      <c r="AM177" s="5">
        <v>1.4285699999999999</v>
      </c>
      <c r="AN177" s="3">
        <v>276</v>
      </c>
      <c r="AO177">
        <v>1</v>
      </c>
      <c r="AP177">
        <v>3</v>
      </c>
      <c r="AQ177" s="5">
        <v>0.33333333333333331</v>
      </c>
      <c r="AR177" s="5">
        <v>0.8</v>
      </c>
      <c r="AS177" s="5">
        <v>0.41666599999999998</v>
      </c>
      <c r="AT177" s="5">
        <v>830</v>
      </c>
    </row>
    <row r="178" spans="1:46" hidden="1">
      <c r="A178" t="str">
        <f>_xlfn.XLOOKUP(Table13[[#This Row],[SAP]],'Location List'!B:B,'Location List'!G:G)</f>
        <v>DFW EAST</v>
      </c>
      <c r="B178" t="str">
        <f>LEFT(Table13[[#This Row],[Sap: Loaction]],4)</f>
        <v>6ESH</v>
      </c>
      <c r="C178" s="4" t="str">
        <f>_xlfn.XLOOKUP(Table13[[#This Row],[Employee]],'Location List'!M:M,'Location List'!N:N,"",0)</f>
        <v/>
      </c>
      <c r="D178" t="s">
        <v>973</v>
      </c>
      <c r="E178" t="s">
        <v>864</v>
      </c>
      <c r="F178" t="s">
        <v>548</v>
      </c>
      <c r="G178" s="3">
        <v>3</v>
      </c>
      <c r="H178" s="3">
        <v>712</v>
      </c>
      <c r="I178">
        <v>576.79999999999995</v>
      </c>
      <c r="J178" t="s">
        <v>454</v>
      </c>
      <c r="K178" s="6">
        <v>31.67</v>
      </c>
      <c r="L178" s="6">
        <v>40.000000000000007</v>
      </c>
      <c r="M178" s="5">
        <v>0.79174999999999995</v>
      </c>
      <c r="N178" s="3">
        <v>644</v>
      </c>
      <c r="O178" s="10">
        <v>10</v>
      </c>
      <c r="P178" s="10">
        <v>64</v>
      </c>
      <c r="Q178" s="5">
        <v>0.15625</v>
      </c>
      <c r="R178" s="5">
        <v>0.19</v>
      </c>
      <c r="S178" s="5">
        <v>0.82236799999999999</v>
      </c>
      <c r="T178" s="3">
        <v>661</v>
      </c>
      <c r="U178" s="10">
        <v>0</v>
      </c>
      <c r="V178" s="10">
        <v>64</v>
      </c>
      <c r="W178" s="5">
        <v>0</v>
      </c>
      <c r="X178" s="5">
        <v>0.05</v>
      </c>
      <c r="Y178" s="5">
        <v>0</v>
      </c>
      <c r="Z178" s="3">
        <v>994</v>
      </c>
      <c r="AA178" s="11">
        <v>0.57142800000000005</v>
      </c>
      <c r="AB178" s="3">
        <v>1141</v>
      </c>
      <c r="AC178">
        <v>5.6</v>
      </c>
      <c r="AD178" s="3">
        <v>58</v>
      </c>
      <c r="AE178">
        <v>0</v>
      </c>
      <c r="AF178">
        <v>16</v>
      </c>
      <c r="AG178" s="5">
        <v>0</v>
      </c>
      <c r="AH178" s="5">
        <v>0.1</v>
      </c>
      <c r="AI178" s="5">
        <v>0</v>
      </c>
      <c r="AJ178" s="3">
        <v>696</v>
      </c>
      <c r="AK178" s="5">
        <v>0.6</v>
      </c>
      <c r="AL178" s="5">
        <v>0.4</v>
      </c>
      <c r="AM178" s="5">
        <v>1.5</v>
      </c>
      <c r="AN178" s="3">
        <v>242</v>
      </c>
      <c r="AO178">
        <v>4</v>
      </c>
      <c r="AP178">
        <v>4</v>
      </c>
      <c r="AQ178" s="5">
        <v>1</v>
      </c>
      <c r="AR178" s="5">
        <v>0.8</v>
      </c>
      <c r="AS178" s="5">
        <v>1.25</v>
      </c>
      <c r="AT178" s="5">
        <v>1</v>
      </c>
    </row>
    <row r="179" spans="1:46" hidden="1">
      <c r="A179" t="str">
        <f>_xlfn.XLOOKUP(Table13[[#This Row],[SAP]],'Location List'!B:B,'Location List'!G:G)</f>
        <v>WEST TEXAS</v>
      </c>
      <c r="B179" t="str">
        <f>LEFT(Table13[[#This Row],[Sap: Loaction]],4)</f>
        <v>903E</v>
      </c>
      <c r="C179" s="4" t="str">
        <f>_xlfn.XLOOKUP(Table13[[#This Row],[Employee]],'Location List'!M:M,'Location List'!N:N,"",0)</f>
        <v/>
      </c>
      <c r="D179" t="s">
        <v>973</v>
      </c>
      <c r="E179" t="s">
        <v>686</v>
      </c>
      <c r="F179" t="s">
        <v>514</v>
      </c>
      <c r="G179" s="3">
        <v>3</v>
      </c>
      <c r="H179" s="3">
        <v>714</v>
      </c>
      <c r="I179">
        <v>578.4</v>
      </c>
      <c r="J179" t="s">
        <v>454</v>
      </c>
      <c r="K179" s="6">
        <v>21.44</v>
      </c>
      <c r="L179" s="6">
        <v>30</v>
      </c>
      <c r="M179" s="5">
        <v>0.71466666666666667</v>
      </c>
      <c r="N179" s="3">
        <v>700</v>
      </c>
      <c r="O179" s="10">
        <v>4</v>
      </c>
      <c r="P179" s="10">
        <v>43</v>
      </c>
      <c r="Q179" s="5">
        <v>9.3023255813953487E-2</v>
      </c>
      <c r="R179" s="5">
        <v>0.19</v>
      </c>
      <c r="S179" s="5">
        <v>0.48959399999999997</v>
      </c>
      <c r="T179" s="3">
        <v>1023</v>
      </c>
      <c r="U179" s="10">
        <v>2</v>
      </c>
      <c r="V179" s="10">
        <v>43</v>
      </c>
      <c r="W179" s="5">
        <v>4.6511627906976744E-2</v>
      </c>
      <c r="X179" s="5">
        <v>0.05</v>
      </c>
      <c r="Y179" s="5">
        <v>0.93022000000000005</v>
      </c>
      <c r="Z179" s="3">
        <v>256</v>
      </c>
      <c r="AA179" s="11">
        <v>0.66666599999999998</v>
      </c>
      <c r="AB179" s="3">
        <v>1060</v>
      </c>
      <c r="AC179">
        <v>10</v>
      </c>
      <c r="AD179" s="3">
        <v>1</v>
      </c>
      <c r="AE179">
        <v>0</v>
      </c>
      <c r="AF179">
        <v>9</v>
      </c>
      <c r="AG179" s="5">
        <v>0</v>
      </c>
      <c r="AH179" s="5">
        <v>0.1</v>
      </c>
      <c r="AI179" s="5">
        <v>0</v>
      </c>
      <c r="AJ179" s="3">
        <v>696</v>
      </c>
      <c r="AK179" s="5">
        <v>0.5</v>
      </c>
      <c r="AL179" s="5">
        <v>0.4</v>
      </c>
      <c r="AM179" s="5">
        <v>1.25</v>
      </c>
      <c r="AN179" s="3">
        <v>326</v>
      </c>
      <c r="AO179">
        <v>1</v>
      </c>
      <c r="AP179">
        <v>1</v>
      </c>
      <c r="AQ179" s="5">
        <v>1</v>
      </c>
      <c r="AR179" s="5">
        <v>0.8</v>
      </c>
      <c r="AS179" s="5">
        <v>1.25</v>
      </c>
      <c r="AT179" s="5">
        <v>1</v>
      </c>
    </row>
    <row r="180" spans="1:46" hidden="1">
      <c r="A180" t="str">
        <f>_xlfn.XLOOKUP(Table13[[#This Row],[SAP]],'Location List'!B:B,'Location List'!G:G)</f>
        <v>SA SOUTH</v>
      </c>
      <c r="B180" t="str">
        <f>LEFT(Table13[[#This Row],[Sap: Loaction]],4)</f>
        <v>1DSZ</v>
      </c>
      <c r="C180" s="4" t="str">
        <f>_xlfn.XLOOKUP(Table13[[#This Row],[Employee]],'Location List'!M:M,'Location List'!N:N,"",0)</f>
        <v/>
      </c>
      <c r="D180" t="s">
        <v>973</v>
      </c>
      <c r="E180" t="s">
        <v>779</v>
      </c>
      <c r="F180" t="s">
        <v>504</v>
      </c>
      <c r="G180" s="3">
        <v>3</v>
      </c>
      <c r="H180" s="3">
        <v>716</v>
      </c>
      <c r="I180">
        <v>578.54999999999995</v>
      </c>
      <c r="J180" t="s">
        <v>454</v>
      </c>
      <c r="K180" s="6">
        <v>-3.72</v>
      </c>
      <c r="L180" s="6">
        <v>35</v>
      </c>
      <c r="M180" s="5">
        <v>-0.10628571428571429</v>
      </c>
      <c r="N180" s="3">
        <v>1290</v>
      </c>
      <c r="O180" s="10">
        <v>5</v>
      </c>
      <c r="P180" s="10">
        <v>100</v>
      </c>
      <c r="Q180" s="5">
        <v>0.05</v>
      </c>
      <c r="R180" s="5">
        <v>0.19</v>
      </c>
      <c r="S180" s="5">
        <v>0.26315699999999997</v>
      </c>
      <c r="T180" s="3">
        <v>1217</v>
      </c>
      <c r="U180" s="10">
        <v>2</v>
      </c>
      <c r="V180" s="10">
        <v>100</v>
      </c>
      <c r="W180" s="5">
        <v>0.02</v>
      </c>
      <c r="X180" s="5">
        <v>0.05</v>
      </c>
      <c r="Y180" s="5">
        <v>0.4</v>
      </c>
      <c r="Z180" s="3">
        <v>661</v>
      </c>
      <c r="AA180" s="11">
        <v>1.111111</v>
      </c>
      <c r="AB180" s="3">
        <v>712</v>
      </c>
      <c r="AC180">
        <v>10</v>
      </c>
      <c r="AD180" s="3">
        <v>1</v>
      </c>
      <c r="AE180">
        <v>6</v>
      </c>
      <c r="AF180">
        <v>10</v>
      </c>
      <c r="AG180" s="5">
        <v>0.6</v>
      </c>
      <c r="AH180" s="5">
        <v>0.1</v>
      </c>
      <c r="AI180" s="5">
        <v>6</v>
      </c>
      <c r="AJ180" s="3">
        <v>27</v>
      </c>
      <c r="AK180" s="5">
        <v>1</v>
      </c>
      <c r="AL180" s="5">
        <v>0.4</v>
      </c>
      <c r="AM180" s="5">
        <v>2.5</v>
      </c>
      <c r="AN180" s="3">
        <v>1</v>
      </c>
      <c r="AO180">
        <v>1</v>
      </c>
      <c r="AP180">
        <v>1</v>
      </c>
      <c r="AQ180" s="5">
        <v>1</v>
      </c>
      <c r="AR180" s="5">
        <v>0.8</v>
      </c>
      <c r="AS180" s="5">
        <v>1.25</v>
      </c>
      <c r="AT180" s="5">
        <v>1</v>
      </c>
    </row>
    <row r="181" spans="1:46" hidden="1">
      <c r="A181" t="str">
        <f>_xlfn.XLOOKUP(Table13[[#This Row],[SAP]],'Location List'!B:B,'Location List'!G:G)</f>
        <v>DFW EAST</v>
      </c>
      <c r="B181" t="str">
        <f>LEFT(Table13[[#This Row],[Sap: Loaction]],4)</f>
        <v>6ESH</v>
      </c>
      <c r="C181" s="4" t="str">
        <f>_xlfn.XLOOKUP(Table13[[#This Row],[Employee]],'Location List'!M:M,'Location List'!N:N,"",0)</f>
        <v/>
      </c>
      <c r="D181" t="s">
        <v>973</v>
      </c>
      <c r="E181" t="s">
        <v>915</v>
      </c>
      <c r="F181" t="s">
        <v>548</v>
      </c>
      <c r="G181" s="3">
        <v>3</v>
      </c>
      <c r="H181" s="3">
        <v>717</v>
      </c>
      <c r="I181">
        <v>578.75</v>
      </c>
      <c r="J181" t="s">
        <v>454</v>
      </c>
      <c r="K181" s="6">
        <v>31.35</v>
      </c>
      <c r="L181" s="6">
        <v>40.000000000000007</v>
      </c>
      <c r="M181" s="5">
        <v>0.78374999999999995</v>
      </c>
      <c r="N181" s="3">
        <v>656</v>
      </c>
      <c r="O181" s="10">
        <v>10</v>
      </c>
      <c r="P181" s="10">
        <v>80</v>
      </c>
      <c r="Q181" s="5">
        <v>0.125</v>
      </c>
      <c r="R181" s="5">
        <v>0.19</v>
      </c>
      <c r="S181" s="5">
        <v>0.65789399999999998</v>
      </c>
      <c r="T181" s="3">
        <v>832</v>
      </c>
      <c r="U181" s="10">
        <v>6</v>
      </c>
      <c r="V181" s="10">
        <v>80</v>
      </c>
      <c r="W181" s="5">
        <v>7.4999999999999997E-2</v>
      </c>
      <c r="X181" s="5">
        <v>0.05</v>
      </c>
      <c r="Y181" s="5">
        <v>1.5</v>
      </c>
      <c r="Z181" s="3">
        <v>74</v>
      </c>
      <c r="AA181" s="11">
        <v>0.69230700000000001</v>
      </c>
      <c r="AB181" s="3">
        <v>1051</v>
      </c>
      <c r="AC181">
        <v>10</v>
      </c>
      <c r="AD181" s="3">
        <v>1</v>
      </c>
      <c r="AE181">
        <v>1</v>
      </c>
      <c r="AF181">
        <v>21</v>
      </c>
      <c r="AG181" s="5">
        <v>4.7619047619047616E-2</v>
      </c>
      <c r="AH181" s="5">
        <v>0.1</v>
      </c>
      <c r="AI181" s="5">
        <v>0.47619</v>
      </c>
      <c r="AJ181" s="3">
        <v>647</v>
      </c>
      <c r="AK181" s="5">
        <v>0.13888866666666666</v>
      </c>
      <c r="AL181" s="5">
        <v>0.4</v>
      </c>
      <c r="AM181" s="5">
        <v>0.34721999999999997</v>
      </c>
      <c r="AN181" s="3">
        <v>1042</v>
      </c>
      <c r="AO181">
        <v>2</v>
      </c>
      <c r="AP181">
        <v>2</v>
      </c>
      <c r="AQ181" s="5">
        <v>1</v>
      </c>
      <c r="AR181" s="5">
        <v>0.8</v>
      </c>
      <c r="AS181" s="5">
        <v>1.25</v>
      </c>
      <c r="AT181" s="5">
        <v>1</v>
      </c>
    </row>
    <row r="182" spans="1:46" hidden="1">
      <c r="A182" t="str">
        <f>_xlfn.XLOOKUP(Table13[[#This Row],[SAP]],'Location List'!B:B,'Location List'!G:G)</f>
        <v>CENTRAL TEXAS</v>
      </c>
      <c r="B182" t="str">
        <f>LEFT(Table13[[#This Row],[Sap: Loaction]],4)</f>
        <v>1DST</v>
      </c>
      <c r="C182" s="4" t="str">
        <f>_xlfn.XLOOKUP(Table13[[#This Row],[Employee]],'Location List'!M:M,'Location List'!N:N,"",0)</f>
        <v/>
      </c>
      <c r="D182" t="s">
        <v>973</v>
      </c>
      <c r="E182" t="s">
        <v>709</v>
      </c>
      <c r="F182" t="s">
        <v>539</v>
      </c>
      <c r="G182" s="3">
        <v>3</v>
      </c>
      <c r="H182" s="3">
        <v>719</v>
      </c>
      <c r="I182">
        <v>579.54999999999995</v>
      </c>
      <c r="J182" t="s">
        <v>454</v>
      </c>
      <c r="K182" s="6">
        <v>21.08</v>
      </c>
      <c r="L182" s="6">
        <v>39.999999999999993</v>
      </c>
      <c r="M182" s="5">
        <v>0.52700000000000002</v>
      </c>
      <c r="N182" s="3">
        <v>837</v>
      </c>
      <c r="O182" s="10">
        <v>9</v>
      </c>
      <c r="P182" s="10">
        <v>73</v>
      </c>
      <c r="Q182" s="5">
        <v>0.12328767123287671</v>
      </c>
      <c r="R182" s="5">
        <v>0.19</v>
      </c>
      <c r="S182" s="5">
        <v>0.64887799999999995</v>
      </c>
      <c r="T182" s="3">
        <v>843</v>
      </c>
      <c r="U182" s="10">
        <v>4</v>
      </c>
      <c r="V182" s="10">
        <v>73</v>
      </c>
      <c r="W182" s="5">
        <v>5.4794520547945202E-2</v>
      </c>
      <c r="X182" s="5">
        <v>0.05</v>
      </c>
      <c r="Y182" s="5">
        <v>1.09588</v>
      </c>
      <c r="Z182" s="3">
        <v>174</v>
      </c>
      <c r="AA182" s="11">
        <v>1.2222219999999999</v>
      </c>
      <c r="AB182" s="3">
        <v>627</v>
      </c>
      <c r="AC182">
        <v>6.6666660000000002</v>
      </c>
      <c r="AD182" s="3">
        <v>48</v>
      </c>
      <c r="AE182">
        <v>0</v>
      </c>
      <c r="AF182">
        <v>6</v>
      </c>
      <c r="AG182" s="5">
        <v>0</v>
      </c>
      <c r="AH182" s="5">
        <v>0.1</v>
      </c>
      <c r="AI182" s="5">
        <v>0</v>
      </c>
      <c r="AJ182" s="3">
        <v>696</v>
      </c>
      <c r="AK182" s="5">
        <v>0.16666666666666666</v>
      </c>
      <c r="AL182" s="5">
        <v>0.4</v>
      </c>
      <c r="AM182" s="5">
        <v>0.41666500000000001</v>
      </c>
      <c r="AN182" s="3">
        <v>960</v>
      </c>
      <c r="AO182">
        <v>1</v>
      </c>
      <c r="AP182">
        <v>1</v>
      </c>
      <c r="AQ182" s="5">
        <v>1</v>
      </c>
      <c r="AR182" s="5">
        <v>0.8</v>
      </c>
      <c r="AS182" s="5">
        <v>1.25</v>
      </c>
      <c r="AT182" s="5">
        <v>1</v>
      </c>
    </row>
    <row r="183" spans="1:46" hidden="1">
      <c r="A183" t="str">
        <f>_xlfn.XLOOKUP(Table13[[#This Row],[SAP]],'Location List'!B:B,'Location List'!G:G)</f>
        <v>DFW EAST</v>
      </c>
      <c r="B183" t="str">
        <f>LEFT(Table13[[#This Row],[Sap: Loaction]],4)</f>
        <v>0118</v>
      </c>
      <c r="C183" s="4" t="str">
        <f>_xlfn.XLOOKUP(Table13[[#This Row],[Employee]],'Location List'!M:M,'Location List'!N:N,"",0)</f>
        <v/>
      </c>
      <c r="D183" t="s">
        <v>973</v>
      </c>
      <c r="E183" t="s">
        <v>759</v>
      </c>
      <c r="F183" t="s">
        <v>531</v>
      </c>
      <c r="G183" s="3">
        <v>3</v>
      </c>
      <c r="H183" s="3">
        <v>721</v>
      </c>
      <c r="I183">
        <v>580.1</v>
      </c>
      <c r="J183" t="s">
        <v>454</v>
      </c>
      <c r="K183" s="6">
        <v>52.59</v>
      </c>
      <c r="L183" s="6">
        <v>40</v>
      </c>
      <c r="M183" s="5">
        <v>1.3147500000000001</v>
      </c>
      <c r="N183" s="3">
        <v>314</v>
      </c>
      <c r="O183" s="10">
        <v>35</v>
      </c>
      <c r="P183" s="10">
        <v>92</v>
      </c>
      <c r="Q183" s="5">
        <v>0.38043478260869568</v>
      </c>
      <c r="R183" s="5">
        <v>0.19</v>
      </c>
      <c r="S183" s="5">
        <v>2.002284</v>
      </c>
      <c r="T183" s="3">
        <v>84</v>
      </c>
      <c r="U183" s="10">
        <v>1</v>
      </c>
      <c r="V183" s="10">
        <v>92</v>
      </c>
      <c r="W183" s="5">
        <v>1.0869565217391304E-2</v>
      </c>
      <c r="X183" s="5">
        <v>0.05</v>
      </c>
      <c r="Y183" s="5">
        <v>0.21737999999999999</v>
      </c>
      <c r="Z183" s="3">
        <v>914</v>
      </c>
      <c r="AA183" s="11">
        <v>0.56000000000000005</v>
      </c>
      <c r="AB183" s="3">
        <v>1153</v>
      </c>
      <c r="AC183">
        <v>10</v>
      </c>
      <c r="AD183" s="3">
        <v>1</v>
      </c>
      <c r="AE183">
        <v>0</v>
      </c>
      <c r="AF183">
        <v>10</v>
      </c>
      <c r="AG183" s="5">
        <v>0</v>
      </c>
      <c r="AH183" s="5">
        <v>0.1</v>
      </c>
      <c r="AI183" s="5">
        <v>0</v>
      </c>
      <c r="AJ183" s="3">
        <v>696</v>
      </c>
      <c r="AK183" s="5">
        <v>2.5641000000000001E-2</v>
      </c>
      <c r="AL183" s="5">
        <v>0.4</v>
      </c>
      <c r="AM183" s="5">
        <v>6.4102000000000006E-2</v>
      </c>
      <c r="AN183" s="3">
        <v>1148</v>
      </c>
      <c r="AQ183" s="5"/>
      <c r="AR183" s="5">
        <v>0.8</v>
      </c>
      <c r="AS183" s="5">
        <v>0</v>
      </c>
      <c r="AT183" s="5">
        <v>902</v>
      </c>
    </row>
    <row r="184" spans="1:46" hidden="1">
      <c r="A184" t="str">
        <f>_xlfn.XLOOKUP(Table13[[#This Row],[SAP]],'Location List'!B:B,'Location List'!G:G)</f>
        <v>DFW EAST</v>
      </c>
      <c r="B184" t="str">
        <f>LEFT(Table13[[#This Row],[Sap: Loaction]],4)</f>
        <v>6ESH</v>
      </c>
      <c r="C184" s="4" t="str">
        <f>_xlfn.XLOOKUP(Table13[[#This Row],[Employee]],'Location List'!M:M,'Location List'!N:N,"",0)</f>
        <v/>
      </c>
      <c r="D184" t="s">
        <v>973</v>
      </c>
      <c r="E184" t="s">
        <v>599</v>
      </c>
      <c r="F184" t="s">
        <v>548</v>
      </c>
      <c r="G184" s="3">
        <v>3</v>
      </c>
      <c r="H184" s="3">
        <v>725</v>
      </c>
      <c r="I184">
        <v>580.75</v>
      </c>
      <c r="J184" t="s">
        <v>454</v>
      </c>
      <c r="K184" s="6">
        <v>43.94</v>
      </c>
      <c r="L184" s="6">
        <v>40</v>
      </c>
      <c r="M184" s="5">
        <v>1.0985</v>
      </c>
      <c r="N184" s="3">
        <v>433</v>
      </c>
      <c r="O184" s="10">
        <v>13</v>
      </c>
      <c r="P184" s="10">
        <v>91</v>
      </c>
      <c r="Q184" s="5">
        <v>0.14285714285714285</v>
      </c>
      <c r="R184" s="5">
        <v>0.19</v>
      </c>
      <c r="S184" s="5">
        <v>0.75187800000000005</v>
      </c>
      <c r="T184" s="3">
        <v>716</v>
      </c>
      <c r="U184" s="10">
        <v>1</v>
      </c>
      <c r="V184" s="10">
        <v>91</v>
      </c>
      <c r="W184" s="5">
        <v>1.098901098901099E-2</v>
      </c>
      <c r="X184" s="5">
        <v>0.05</v>
      </c>
      <c r="Y184" s="5">
        <v>0.21978</v>
      </c>
      <c r="Z184" s="3">
        <v>911</v>
      </c>
      <c r="AA184" s="11">
        <v>0.33333299999999999</v>
      </c>
      <c r="AB184" s="3">
        <v>1283</v>
      </c>
      <c r="AC184">
        <v>10</v>
      </c>
      <c r="AD184" s="3">
        <v>1</v>
      </c>
      <c r="AE184">
        <v>1</v>
      </c>
      <c r="AF184">
        <v>18</v>
      </c>
      <c r="AG184" s="5">
        <v>5.5555555555555552E-2</v>
      </c>
      <c r="AH184" s="5">
        <v>0.1</v>
      </c>
      <c r="AI184" s="5">
        <v>0.55554999999999999</v>
      </c>
      <c r="AJ184" s="3">
        <v>624</v>
      </c>
      <c r="AK184" s="5">
        <v>0.375</v>
      </c>
      <c r="AL184" s="5">
        <v>0.4</v>
      </c>
      <c r="AM184" s="5">
        <v>0.9375</v>
      </c>
      <c r="AN184" s="3">
        <v>594</v>
      </c>
      <c r="AO184">
        <v>6</v>
      </c>
      <c r="AP184">
        <v>6</v>
      </c>
      <c r="AQ184" s="5">
        <v>1</v>
      </c>
      <c r="AR184" s="5">
        <v>0.8</v>
      </c>
      <c r="AS184" s="5">
        <v>1.25</v>
      </c>
      <c r="AT184" s="5">
        <v>1</v>
      </c>
    </row>
    <row r="185" spans="1:46" hidden="1">
      <c r="A185" t="str">
        <f>_xlfn.XLOOKUP(Table13[[#This Row],[SAP]],'Location List'!B:B,'Location List'!G:G)</f>
        <v>MO/IA/NE</v>
      </c>
      <c r="B185" t="str">
        <f>LEFT(Table13[[#This Row],[Sap: Loaction]],4)</f>
        <v>4BSI</v>
      </c>
      <c r="C185" s="4" t="str">
        <f>_xlfn.XLOOKUP(Table13[[#This Row],[Employee]],'Location List'!M:M,'Location List'!N:N,"",0)</f>
        <v/>
      </c>
      <c r="D185" t="s">
        <v>973</v>
      </c>
      <c r="E185" t="s">
        <v>951</v>
      </c>
      <c r="F185" t="s">
        <v>581</v>
      </c>
      <c r="G185" s="3">
        <v>3</v>
      </c>
      <c r="H185" s="3">
        <v>726</v>
      </c>
      <c r="I185">
        <v>580.79999999999995</v>
      </c>
      <c r="J185" t="s">
        <v>454</v>
      </c>
      <c r="K185" s="6">
        <v>26.65</v>
      </c>
      <c r="L185" s="6">
        <v>30</v>
      </c>
      <c r="M185" s="5">
        <v>0.88833333333333331</v>
      </c>
      <c r="N185" s="3">
        <v>572</v>
      </c>
      <c r="O185" s="10">
        <v>8</v>
      </c>
      <c r="P185" s="10">
        <v>50</v>
      </c>
      <c r="Q185" s="5">
        <v>0.16</v>
      </c>
      <c r="R185" s="5">
        <v>0.19</v>
      </c>
      <c r="S185" s="5">
        <v>0.84210499999999999</v>
      </c>
      <c r="T185" s="3">
        <v>640</v>
      </c>
      <c r="U185" s="10">
        <v>1</v>
      </c>
      <c r="V185" s="10">
        <v>50</v>
      </c>
      <c r="W185" s="5">
        <v>0.02</v>
      </c>
      <c r="X185" s="5">
        <v>0.05</v>
      </c>
      <c r="Y185" s="5">
        <v>0.4</v>
      </c>
      <c r="Z185" s="3">
        <v>661</v>
      </c>
      <c r="AA185" s="11">
        <v>3</v>
      </c>
      <c r="AB185" s="3">
        <v>69</v>
      </c>
      <c r="AC185">
        <v>0</v>
      </c>
      <c r="AD185" s="3">
        <v>75</v>
      </c>
      <c r="AE185">
        <v>0</v>
      </c>
      <c r="AF185">
        <v>6</v>
      </c>
      <c r="AG185" s="5">
        <v>0</v>
      </c>
      <c r="AH185" s="5">
        <v>0.1</v>
      </c>
      <c r="AI185" s="5">
        <v>0</v>
      </c>
      <c r="AJ185" s="3">
        <v>696</v>
      </c>
      <c r="AK185" s="5">
        <v>0</v>
      </c>
      <c r="AL185" s="5">
        <v>0.4</v>
      </c>
      <c r="AM185" s="5">
        <v>0</v>
      </c>
      <c r="AN185" s="3">
        <v>1150</v>
      </c>
      <c r="AO185">
        <v>5</v>
      </c>
      <c r="AP185">
        <v>7</v>
      </c>
      <c r="AQ185" s="5">
        <v>0.7142857142857143</v>
      </c>
      <c r="AR185" s="5">
        <v>0.8</v>
      </c>
      <c r="AS185" s="5">
        <v>0.89285599999999998</v>
      </c>
      <c r="AT185" s="5">
        <v>671</v>
      </c>
    </row>
    <row r="186" spans="1:46" hidden="1">
      <c r="A186" t="str">
        <f>_xlfn.XLOOKUP(Table13[[#This Row],[SAP]],'Location List'!B:B,'Location List'!G:G)</f>
        <v>CENTRAL TEXAS</v>
      </c>
      <c r="B186" t="str">
        <f>LEFT(Table13[[#This Row],[Sap: Loaction]],4)</f>
        <v>1FSI</v>
      </c>
      <c r="C186" s="4" t="str">
        <f>_xlfn.XLOOKUP(Table13[[#This Row],[Employee]],'Location List'!M:M,'Location List'!N:N,"",0)</f>
        <v>RSM</v>
      </c>
      <c r="D186" t="s">
        <v>973</v>
      </c>
      <c r="E186" t="s">
        <v>689</v>
      </c>
      <c r="F186" t="s">
        <v>520</v>
      </c>
      <c r="G186" s="3">
        <v>3</v>
      </c>
      <c r="H186" s="3">
        <v>729</v>
      </c>
      <c r="I186">
        <v>582.45000000000005</v>
      </c>
      <c r="J186" t="s">
        <v>454</v>
      </c>
      <c r="K186" s="6">
        <v>-10.36</v>
      </c>
      <c r="L186" s="6">
        <v>35</v>
      </c>
      <c r="M186" s="5">
        <v>-0.29599999999999999</v>
      </c>
      <c r="N186" s="3">
        <v>1347</v>
      </c>
      <c r="O186" s="10">
        <v>5</v>
      </c>
      <c r="P186" s="10">
        <v>73</v>
      </c>
      <c r="Q186" s="5">
        <v>6.8493150684931503E-2</v>
      </c>
      <c r="R186" s="5">
        <v>0.19</v>
      </c>
      <c r="S186" s="5">
        <v>0.360489</v>
      </c>
      <c r="T186" s="3">
        <v>1152</v>
      </c>
      <c r="U186" s="10">
        <v>7</v>
      </c>
      <c r="V186" s="10">
        <v>73</v>
      </c>
      <c r="W186" s="5">
        <v>9.5890410958904104E-2</v>
      </c>
      <c r="X186" s="5">
        <v>0.05</v>
      </c>
      <c r="Y186" s="5">
        <v>1.9177999999999999</v>
      </c>
      <c r="Z186" s="3">
        <v>31</v>
      </c>
      <c r="AA186" s="11">
        <v>1.555555</v>
      </c>
      <c r="AB186" s="3">
        <v>415</v>
      </c>
      <c r="AC186">
        <v>10</v>
      </c>
      <c r="AD186" s="3">
        <v>1</v>
      </c>
      <c r="AE186">
        <v>1</v>
      </c>
      <c r="AF186">
        <v>7</v>
      </c>
      <c r="AG186" s="5">
        <v>0.14285714285714285</v>
      </c>
      <c r="AH186" s="5">
        <v>0.1</v>
      </c>
      <c r="AI186" s="5">
        <v>1.4285699999999999</v>
      </c>
      <c r="AJ186" s="3">
        <v>368</v>
      </c>
      <c r="AK186" s="5">
        <v>0.44444433333333339</v>
      </c>
      <c r="AL186" s="5">
        <v>0.4</v>
      </c>
      <c r="AM186" s="5">
        <v>1.11111</v>
      </c>
      <c r="AN186" s="3">
        <v>500</v>
      </c>
      <c r="AO186">
        <v>2</v>
      </c>
      <c r="AP186">
        <v>2</v>
      </c>
      <c r="AQ186" s="5">
        <v>1</v>
      </c>
      <c r="AR186" s="5">
        <v>0.8</v>
      </c>
      <c r="AS186" s="5">
        <v>1.25</v>
      </c>
      <c r="AT186" s="5">
        <v>1</v>
      </c>
    </row>
    <row r="187" spans="1:46" hidden="1">
      <c r="A187" t="str">
        <f>_xlfn.XLOOKUP(Table13[[#This Row],[SAP]],'Location List'!B:B,'Location List'!G:G)</f>
        <v>SA/HILL COUNTRY</v>
      </c>
      <c r="B187" t="str">
        <f>LEFT(Table13[[#This Row],[Sap: Loaction]],4)</f>
        <v>1ESB</v>
      </c>
      <c r="C187" s="4" t="str">
        <f>_xlfn.XLOOKUP(Table13[[#This Row],[Employee]],'Location List'!M:M,'Location List'!N:N,"",0)</f>
        <v/>
      </c>
      <c r="D187" t="s">
        <v>973</v>
      </c>
      <c r="E187" t="s">
        <v>905</v>
      </c>
      <c r="F187" t="s">
        <v>515</v>
      </c>
      <c r="G187" s="3">
        <v>3</v>
      </c>
      <c r="H187" s="3">
        <v>730</v>
      </c>
      <c r="I187">
        <v>583.6</v>
      </c>
      <c r="J187" t="s">
        <v>454</v>
      </c>
      <c r="K187" s="6">
        <v>42.85</v>
      </c>
      <c r="L187" s="6">
        <v>40</v>
      </c>
      <c r="M187" s="5">
        <v>1.07125</v>
      </c>
      <c r="N187" s="3">
        <v>446</v>
      </c>
      <c r="O187" s="10">
        <v>19</v>
      </c>
      <c r="P187" s="10">
        <v>102</v>
      </c>
      <c r="Q187" s="5">
        <v>0.18627450980392157</v>
      </c>
      <c r="R187" s="5">
        <v>0.19</v>
      </c>
      <c r="S187" s="5">
        <v>0.98038899999999995</v>
      </c>
      <c r="T187" s="3">
        <v>518</v>
      </c>
      <c r="U187" s="10">
        <v>4</v>
      </c>
      <c r="V187" s="10">
        <v>102</v>
      </c>
      <c r="W187" s="5">
        <v>3.9215686274509803E-2</v>
      </c>
      <c r="X187" s="5">
        <v>0.05</v>
      </c>
      <c r="Y187" s="5">
        <v>0.7843</v>
      </c>
      <c r="Z187" s="3">
        <v>337</v>
      </c>
      <c r="AA187" s="11">
        <v>0.55555500000000002</v>
      </c>
      <c r="AB187" s="3">
        <v>1155</v>
      </c>
      <c r="AC187">
        <v>10</v>
      </c>
      <c r="AD187" s="3">
        <v>1</v>
      </c>
      <c r="AE187">
        <v>0</v>
      </c>
      <c r="AF187">
        <v>22</v>
      </c>
      <c r="AG187" s="5">
        <v>0</v>
      </c>
      <c r="AH187" s="5">
        <v>0.1</v>
      </c>
      <c r="AI187" s="5">
        <v>0</v>
      </c>
      <c r="AJ187" s="3">
        <v>696</v>
      </c>
      <c r="AK187" s="5">
        <v>0.2291665</v>
      </c>
      <c r="AL187" s="5">
        <v>0.4</v>
      </c>
      <c r="AM187" s="5">
        <v>0.57291499999999995</v>
      </c>
      <c r="AN187" s="3">
        <v>888</v>
      </c>
      <c r="AO187">
        <v>5</v>
      </c>
      <c r="AP187">
        <v>8</v>
      </c>
      <c r="AQ187" s="5">
        <v>0.625</v>
      </c>
      <c r="AR187" s="5">
        <v>0.8</v>
      </c>
      <c r="AS187" s="5">
        <v>0.78125</v>
      </c>
      <c r="AT187" s="5">
        <v>706</v>
      </c>
    </row>
    <row r="188" spans="1:46" hidden="1">
      <c r="A188" t="str">
        <f>_xlfn.XLOOKUP(Table13[[#This Row],[SAP]],'Location List'!B:B,'Location List'!G:G)</f>
        <v>DFW EAST</v>
      </c>
      <c r="B188" t="str">
        <f>LEFT(Table13[[#This Row],[Sap: Loaction]],4)</f>
        <v>2536</v>
      </c>
      <c r="C188" s="4" t="str">
        <f>_xlfn.XLOOKUP(Table13[[#This Row],[Employee]],'Location List'!M:M,'Location List'!N:N,"",0)</f>
        <v/>
      </c>
      <c r="D188" t="s">
        <v>973</v>
      </c>
      <c r="E188" t="s">
        <v>914</v>
      </c>
      <c r="F188" t="s">
        <v>532</v>
      </c>
      <c r="G188" s="3">
        <v>3</v>
      </c>
      <c r="H188" s="3">
        <v>731</v>
      </c>
      <c r="I188">
        <v>583.65</v>
      </c>
      <c r="J188" t="s">
        <v>454</v>
      </c>
      <c r="K188" s="6">
        <v>36.31</v>
      </c>
      <c r="L188" s="6">
        <v>40.000000000000007</v>
      </c>
      <c r="M188" s="5">
        <v>0.90774999999999995</v>
      </c>
      <c r="N188" s="3">
        <v>559</v>
      </c>
      <c r="O188" s="10">
        <v>15</v>
      </c>
      <c r="P188" s="10">
        <v>124</v>
      </c>
      <c r="Q188" s="5">
        <v>0.12096774193548387</v>
      </c>
      <c r="R188" s="5">
        <v>0.19</v>
      </c>
      <c r="S188" s="5">
        <v>0.63666800000000001</v>
      </c>
      <c r="T188" s="3">
        <v>849</v>
      </c>
      <c r="U188" s="10">
        <v>2</v>
      </c>
      <c r="V188" s="10">
        <v>124</v>
      </c>
      <c r="W188" s="5">
        <v>1.6129032258064516E-2</v>
      </c>
      <c r="X188" s="5">
        <v>0.05</v>
      </c>
      <c r="Y188" s="5">
        <v>0.32257999999999998</v>
      </c>
      <c r="Z188" s="3">
        <v>772</v>
      </c>
      <c r="AA188" s="11">
        <v>1.8571420000000001</v>
      </c>
      <c r="AB188" s="3">
        <v>291</v>
      </c>
      <c r="AC188">
        <v>0</v>
      </c>
      <c r="AD188" s="3">
        <v>75</v>
      </c>
      <c r="AE188">
        <v>0</v>
      </c>
      <c r="AF188">
        <v>0</v>
      </c>
      <c r="AG188" s="5" t="s">
        <v>653</v>
      </c>
      <c r="AH188" s="5">
        <v>0.1</v>
      </c>
      <c r="AI188" s="5">
        <v>0</v>
      </c>
      <c r="AJ188" s="3">
        <v>696</v>
      </c>
      <c r="AK188" s="5">
        <v>6.6666666666666666E-2</v>
      </c>
      <c r="AL188" s="5">
        <v>0.4</v>
      </c>
      <c r="AM188" s="5">
        <v>0.16666500000000001</v>
      </c>
      <c r="AN188" s="3">
        <v>1117</v>
      </c>
      <c r="AO188">
        <v>4</v>
      </c>
      <c r="AP188">
        <v>4</v>
      </c>
      <c r="AQ188" s="5">
        <v>1</v>
      </c>
      <c r="AR188" s="5">
        <v>0.8</v>
      </c>
      <c r="AS188" s="5">
        <v>1.25</v>
      </c>
      <c r="AT188" s="5">
        <v>1</v>
      </c>
    </row>
    <row r="189" spans="1:46" hidden="1">
      <c r="A189" t="str">
        <f>_xlfn.XLOOKUP(Table13[[#This Row],[SAP]],'Location List'!B:B,'Location List'!G:G)</f>
        <v>DFW NORTH</v>
      </c>
      <c r="B189" t="str">
        <f>LEFT(Table13[[#This Row],[Sap: Loaction]],4)</f>
        <v>211E</v>
      </c>
      <c r="C189" s="4" t="str">
        <f>_xlfn.XLOOKUP(Table13[[#This Row],[Employee]],'Location List'!M:M,'Location List'!N:N,"",0)</f>
        <v/>
      </c>
      <c r="D189" t="s">
        <v>973</v>
      </c>
      <c r="E189" t="s">
        <v>764</v>
      </c>
      <c r="F189" t="s">
        <v>557</v>
      </c>
      <c r="G189" s="3">
        <v>3</v>
      </c>
      <c r="H189" s="3">
        <v>732</v>
      </c>
      <c r="I189">
        <v>583.85</v>
      </c>
      <c r="J189" t="s">
        <v>454</v>
      </c>
      <c r="K189" s="6">
        <v>63.99</v>
      </c>
      <c r="L189" s="6">
        <v>35</v>
      </c>
      <c r="M189" s="5">
        <v>1.8282857142857143</v>
      </c>
      <c r="N189" s="3">
        <v>127</v>
      </c>
      <c r="O189" s="10">
        <v>13</v>
      </c>
      <c r="P189" s="10">
        <v>110</v>
      </c>
      <c r="Q189" s="5">
        <v>0.11818181818181818</v>
      </c>
      <c r="R189" s="5">
        <v>0.19</v>
      </c>
      <c r="S189" s="5">
        <v>0.62200500000000003</v>
      </c>
      <c r="T189" s="3">
        <v>873</v>
      </c>
      <c r="U189" s="10">
        <v>1</v>
      </c>
      <c r="V189" s="10">
        <v>110</v>
      </c>
      <c r="W189" s="5">
        <v>9.0909090909090905E-3</v>
      </c>
      <c r="X189" s="5">
        <v>0.05</v>
      </c>
      <c r="Y189" s="5">
        <v>0.18179999999999999</v>
      </c>
      <c r="Z189" s="3">
        <v>957</v>
      </c>
      <c r="AA189" s="11">
        <v>2.1111110000000002</v>
      </c>
      <c r="AB189" s="3">
        <v>204</v>
      </c>
      <c r="AC189">
        <v>10</v>
      </c>
      <c r="AD189" s="3">
        <v>1</v>
      </c>
      <c r="AE189">
        <v>1</v>
      </c>
      <c r="AF189">
        <v>29</v>
      </c>
      <c r="AG189" s="5">
        <v>3.4482758620689655E-2</v>
      </c>
      <c r="AH189" s="5">
        <v>0.1</v>
      </c>
      <c r="AI189" s="5">
        <v>0.34482000000000002</v>
      </c>
      <c r="AJ189" s="3">
        <v>684</v>
      </c>
      <c r="AK189" s="5">
        <v>0.14285700000000001</v>
      </c>
      <c r="AL189" s="5">
        <v>0.4</v>
      </c>
      <c r="AM189" s="5">
        <v>0.35714200000000002</v>
      </c>
      <c r="AN189" s="3">
        <v>1033</v>
      </c>
      <c r="AO189">
        <v>4</v>
      </c>
      <c r="AP189">
        <v>6</v>
      </c>
      <c r="AQ189" s="5">
        <v>0.66666666666666663</v>
      </c>
      <c r="AR189" s="5">
        <v>0.8</v>
      </c>
      <c r="AS189" s="5">
        <v>0.83333199999999996</v>
      </c>
      <c r="AT189" s="5">
        <v>681</v>
      </c>
    </row>
    <row r="190" spans="1:46" hidden="1">
      <c r="A190" t="str">
        <f>_xlfn.XLOOKUP(Table13[[#This Row],[SAP]],'Location List'!B:B,'Location List'!G:G)</f>
        <v>SA/HILL COUNTRY</v>
      </c>
      <c r="B190" t="str">
        <f>LEFT(Table13[[#This Row],[Sap: Loaction]],4)</f>
        <v>1ESD</v>
      </c>
      <c r="C190" s="4" t="str">
        <f>_xlfn.XLOOKUP(Table13[[#This Row],[Employee]],'Location List'!M:M,'Location List'!N:N,"",0)</f>
        <v/>
      </c>
      <c r="D190" t="s">
        <v>973</v>
      </c>
      <c r="E190" t="s">
        <v>936</v>
      </c>
      <c r="F190" t="s">
        <v>573</v>
      </c>
      <c r="G190" s="3">
        <v>3</v>
      </c>
      <c r="H190" s="3">
        <v>737</v>
      </c>
      <c r="I190">
        <v>585.5</v>
      </c>
      <c r="J190" t="s">
        <v>454</v>
      </c>
      <c r="K190" s="6">
        <v>24.31</v>
      </c>
      <c r="L190" s="6">
        <v>40</v>
      </c>
      <c r="M190" s="5">
        <v>0.60775000000000001</v>
      </c>
      <c r="N190" s="3">
        <v>783</v>
      </c>
      <c r="O190" s="10">
        <v>10</v>
      </c>
      <c r="P190" s="10">
        <v>83</v>
      </c>
      <c r="Q190" s="5">
        <v>0.12048192771084337</v>
      </c>
      <c r="R190" s="5">
        <v>0.19</v>
      </c>
      <c r="S190" s="5">
        <v>0.63410999999999995</v>
      </c>
      <c r="T190" s="3">
        <v>854</v>
      </c>
      <c r="U190" s="10">
        <v>5</v>
      </c>
      <c r="V190" s="10">
        <v>83</v>
      </c>
      <c r="W190" s="5">
        <v>6.0240963855421686E-2</v>
      </c>
      <c r="X190" s="5">
        <v>0.05</v>
      </c>
      <c r="Y190" s="5">
        <v>1.2048000000000001</v>
      </c>
      <c r="Z190" s="3">
        <v>133</v>
      </c>
      <c r="AA190" s="11">
        <v>0.44444400000000001</v>
      </c>
      <c r="AB190" s="3">
        <v>1233</v>
      </c>
      <c r="AC190">
        <v>6</v>
      </c>
      <c r="AD190" s="3">
        <v>55</v>
      </c>
      <c r="AE190">
        <v>1</v>
      </c>
      <c r="AF190">
        <v>17</v>
      </c>
      <c r="AG190" s="5">
        <v>5.8823529411764705E-2</v>
      </c>
      <c r="AH190" s="5">
        <v>0.1</v>
      </c>
      <c r="AI190" s="5">
        <v>0.58823000000000003</v>
      </c>
      <c r="AJ190" s="3">
        <v>613</v>
      </c>
      <c r="AK190" s="5">
        <v>0.33333299999999999</v>
      </c>
      <c r="AL190" s="5">
        <v>0.4</v>
      </c>
      <c r="AM190" s="5">
        <v>0.83333199999999996</v>
      </c>
      <c r="AN190" s="3">
        <v>631</v>
      </c>
      <c r="AO190">
        <v>3</v>
      </c>
      <c r="AP190">
        <v>3</v>
      </c>
      <c r="AQ190" s="5">
        <v>1</v>
      </c>
      <c r="AR190" s="5">
        <v>0.8</v>
      </c>
      <c r="AS190" s="5">
        <v>1.25</v>
      </c>
      <c r="AT190" s="5">
        <v>1</v>
      </c>
    </row>
    <row r="191" spans="1:46">
      <c r="A191" t="str">
        <f>_xlfn.XLOOKUP(Table13[[#This Row],[SAP]],'Location List'!B:B,'Location List'!G:G)</f>
        <v>WEST TEXAS</v>
      </c>
      <c r="B191" t="str">
        <f>LEFT(Table13[[#This Row],[Sap: Loaction]],4)</f>
        <v>922E</v>
      </c>
      <c r="C191" s="4" t="str">
        <f>_xlfn.XLOOKUP(Table13[[#This Row],[Employee]],'Location List'!M:M,'Location List'!N:N,"",0)</f>
        <v>RSM</v>
      </c>
      <c r="D191" t="s">
        <v>973</v>
      </c>
      <c r="E191" t="s">
        <v>802</v>
      </c>
      <c r="F191" t="s">
        <v>555</v>
      </c>
      <c r="G191" s="3">
        <v>3</v>
      </c>
      <c r="H191" s="3">
        <v>745</v>
      </c>
      <c r="I191">
        <v>588.15</v>
      </c>
      <c r="J191" t="s">
        <v>454</v>
      </c>
      <c r="K191" s="6">
        <v>19.739999999999998</v>
      </c>
      <c r="L191" s="6">
        <v>40</v>
      </c>
      <c r="M191" s="5">
        <v>0.49349999999999999</v>
      </c>
      <c r="N191" s="3">
        <v>862</v>
      </c>
      <c r="O191" s="10">
        <v>12</v>
      </c>
      <c r="P191" s="10">
        <v>161</v>
      </c>
      <c r="Q191" s="5">
        <v>7.4534161490683232E-2</v>
      </c>
      <c r="R191" s="5">
        <v>0.19</v>
      </c>
      <c r="S191" s="5">
        <v>0.39228400000000002</v>
      </c>
      <c r="T191" s="3">
        <v>1127</v>
      </c>
      <c r="U191" s="10">
        <v>6</v>
      </c>
      <c r="V191" s="10">
        <v>161</v>
      </c>
      <c r="W191" s="5">
        <v>3.7267080745341616E-2</v>
      </c>
      <c r="X191" s="5">
        <v>0.05</v>
      </c>
      <c r="Y191" s="5">
        <v>0.74534</v>
      </c>
      <c r="Z191" s="3">
        <v>358</v>
      </c>
      <c r="AA191" s="11">
        <v>1.454545</v>
      </c>
      <c r="AB191" s="3">
        <v>483</v>
      </c>
      <c r="AC191">
        <v>10</v>
      </c>
      <c r="AD191" s="3">
        <v>1</v>
      </c>
      <c r="AE191">
        <v>1</v>
      </c>
      <c r="AF191">
        <v>23</v>
      </c>
      <c r="AG191" s="5">
        <v>4.3478260869565216E-2</v>
      </c>
      <c r="AH191" s="5">
        <v>0.1</v>
      </c>
      <c r="AI191" s="5">
        <v>0.43478</v>
      </c>
      <c r="AJ191" s="3">
        <v>661</v>
      </c>
      <c r="AK191" s="5">
        <v>0.44444433333333339</v>
      </c>
      <c r="AL191" s="5">
        <v>0.4</v>
      </c>
      <c r="AM191" s="5">
        <v>1.11111</v>
      </c>
      <c r="AN191" s="3">
        <v>500</v>
      </c>
      <c r="AO191">
        <v>1</v>
      </c>
      <c r="AP191">
        <v>1</v>
      </c>
      <c r="AQ191" s="5">
        <v>1</v>
      </c>
      <c r="AR191" s="5">
        <v>0.8</v>
      </c>
      <c r="AS191" s="5">
        <v>1.25</v>
      </c>
      <c r="AT191" s="5">
        <v>1</v>
      </c>
    </row>
    <row r="192" spans="1:46" hidden="1">
      <c r="A192" t="str">
        <f>_xlfn.XLOOKUP(Table13[[#This Row],[SAP]],'Location List'!B:B,'Location List'!G:G)</f>
        <v>MO/IA/NE</v>
      </c>
      <c r="B192" t="str">
        <f>LEFT(Table13[[#This Row],[Sap: Loaction]],4)</f>
        <v>4BSM</v>
      </c>
      <c r="C192" s="4" t="str">
        <f>_xlfn.XLOOKUP(Table13[[#This Row],[Employee]],'Location List'!M:M,'Location List'!N:N,"",0)</f>
        <v/>
      </c>
      <c r="D192" t="s">
        <v>973</v>
      </c>
      <c r="E192" t="s">
        <v>884</v>
      </c>
      <c r="F192" t="s">
        <v>529</v>
      </c>
      <c r="G192" s="3">
        <v>3</v>
      </c>
      <c r="H192" s="3">
        <v>748</v>
      </c>
      <c r="I192">
        <v>588.85</v>
      </c>
      <c r="J192" t="s">
        <v>454</v>
      </c>
      <c r="K192" s="6">
        <v>27.03</v>
      </c>
      <c r="L192" s="6">
        <v>30</v>
      </c>
      <c r="M192" s="5">
        <v>0.90100000000000002</v>
      </c>
      <c r="N192" s="3">
        <v>567</v>
      </c>
      <c r="O192" s="10">
        <v>12</v>
      </c>
      <c r="P192" s="10">
        <v>68</v>
      </c>
      <c r="Q192" s="5">
        <v>0.17647058823529413</v>
      </c>
      <c r="R192" s="5">
        <v>0.19</v>
      </c>
      <c r="S192" s="5">
        <v>0.92878899999999998</v>
      </c>
      <c r="T192" s="3">
        <v>553</v>
      </c>
      <c r="U192" s="10">
        <v>4</v>
      </c>
      <c r="V192" s="10">
        <v>68</v>
      </c>
      <c r="W192" s="5">
        <v>5.8823529411764705E-2</v>
      </c>
      <c r="X192" s="5">
        <v>0.05</v>
      </c>
      <c r="Y192" s="5">
        <v>1.1764600000000001</v>
      </c>
      <c r="Z192" s="3">
        <v>138</v>
      </c>
      <c r="AA192" s="11">
        <v>0.66666599999999998</v>
      </c>
      <c r="AB192" s="3">
        <v>1060</v>
      </c>
      <c r="AC192">
        <v>10</v>
      </c>
      <c r="AD192" s="3">
        <v>1</v>
      </c>
      <c r="AE192">
        <v>0</v>
      </c>
      <c r="AF192">
        <v>12</v>
      </c>
      <c r="AG192" s="5">
        <v>0</v>
      </c>
      <c r="AH192" s="5">
        <v>0.1</v>
      </c>
      <c r="AI192" s="5">
        <v>0</v>
      </c>
      <c r="AJ192" s="3">
        <v>696</v>
      </c>
      <c r="AK192" s="5">
        <v>0.27777766666666664</v>
      </c>
      <c r="AL192" s="5">
        <v>0.4</v>
      </c>
      <c r="AM192" s="5">
        <v>0.694442</v>
      </c>
      <c r="AN192" s="3">
        <v>787</v>
      </c>
      <c r="AO192">
        <v>0</v>
      </c>
      <c r="AP192">
        <v>4</v>
      </c>
      <c r="AQ192" s="5">
        <v>0</v>
      </c>
      <c r="AR192" s="5">
        <v>0.8</v>
      </c>
      <c r="AS192" s="5">
        <v>0</v>
      </c>
      <c r="AT192" s="5">
        <v>902</v>
      </c>
    </row>
    <row r="193" spans="1:46" hidden="1">
      <c r="A193" t="str">
        <f>_xlfn.XLOOKUP(Table13[[#This Row],[SAP]],'Location List'!B:B,'Location List'!G:G)</f>
        <v>SA SOUTH</v>
      </c>
      <c r="B193" t="str">
        <f>LEFT(Table13[[#This Row],[Sap: Loaction]],4)</f>
        <v>221D</v>
      </c>
      <c r="C193" s="4" t="str">
        <f>_xlfn.XLOOKUP(Table13[[#This Row],[Employee]],'Location List'!M:M,'Location List'!N:N,"",0)</f>
        <v/>
      </c>
      <c r="D193" t="s">
        <v>973</v>
      </c>
      <c r="E193" t="s">
        <v>890</v>
      </c>
      <c r="F193" t="s">
        <v>521</v>
      </c>
      <c r="G193" s="3">
        <v>3</v>
      </c>
      <c r="H193" s="3">
        <v>755</v>
      </c>
      <c r="I193">
        <v>590.6</v>
      </c>
      <c r="J193" t="s">
        <v>454</v>
      </c>
      <c r="K193" s="6">
        <v>47.87</v>
      </c>
      <c r="L193" s="6">
        <v>40</v>
      </c>
      <c r="M193" s="5">
        <v>1.19675</v>
      </c>
      <c r="N193" s="3">
        <v>367</v>
      </c>
      <c r="O193" s="10">
        <v>19</v>
      </c>
      <c r="P193" s="10">
        <v>210</v>
      </c>
      <c r="Q193" s="5">
        <v>9.0476190476190474E-2</v>
      </c>
      <c r="R193" s="5">
        <v>0.19</v>
      </c>
      <c r="S193" s="5">
        <v>0.47618899999999997</v>
      </c>
      <c r="T193" s="3">
        <v>1044</v>
      </c>
      <c r="U193" s="10">
        <v>2</v>
      </c>
      <c r="V193" s="10">
        <v>210</v>
      </c>
      <c r="W193" s="5">
        <v>9.5238095238095247E-3</v>
      </c>
      <c r="X193" s="5">
        <v>0.05</v>
      </c>
      <c r="Y193" s="5">
        <v>0.19045999999999999</v>
      </c>
      <c r="Z193" s="3">
        <v>940</v>
      </c>
      <c r="AA193" s="11">
        <v>1.3636360000000001</v>
      </c>
      <c r="AB193" s="3">
        <v>543</v>
      </c>
      <c r="AC193">
        <v>10</v>
      </c>
      <c r="AD193" s="3">
        <v>1</v>
      </c>
      <c r="AE193">
        <v>1</v>
      </c>
      <c r="AF193">
        <v>21</v>
      </c>
      <c r="AG193" s="5">
        <v>4.7619047619047616E-2</v>
      </c>
      <c r="AH193" s="5">
        <v>0.1</v>
      </c>
      <c r="AI193" s="5">
        <v>0.47619</v>
      </c>
      <c r="AJ193" s="3">
        <v>647</v>
      </c>
      <c r="AK193" s="5">
        <v>0.25</v>
      </c>
      <c r="AL193" s="5">
        <v>0.4</v>
      </c>
      <c r="AM193" s="5">
        <v>0.625</v>
      </c>
      <c r="AN193" s="3">
        <v>812</v>
      </c>
      <c r="AO193">
        <v>7</v>
      </c>
      <c r="AP193">
        <v>7</v>
      </c>
      <c r="AQ193" s="5">
        <v>1</v>
      </c>
      <c r="AR193" s="5">
        <v>0.8</v>
      </c>
      <c r="AS193" s="5">
        <v>1.25</v>
      </c>
      <c r="AT193" s="5">
        <v>1</v>
      </c>
    </row>
    <row r="194" spans="1:46" hidden="1">
      <c r="A194" t="str">
        <f>_xlfn.XLOOKUP(Table13[[#This Row],[SAP]],'Location List'!B:B,'Location List'!G:G)</f>
        <v>CENTRAL TEXAS</v>
      </c>
      <c r="B194" t="str">
        <f>LEFT(Table13[[#This Row],[Sap: Loaction]],4)</f>
        <v>1DSU</v>
      </c>
      <c r="C194" s="4" t="str">
        <f>_xlfn.XLOOKUP(Table13[[#This Row],[Employee]],'Location List'!M:M,'Location List'!N:N,"",0)</f>
        <v>RSM</v>
      </c>
      <c r="D194" t="s">
        <v>973</v>
      </c>
      <c r="E194" t="s">
        <v>896</v>
      </c>
      <c r="F194" t="s">
        <v>506</v>
      </c>
      <c r="G194" s="3">
        <v>3</v>
      </c>
      <c r="H194" s="3">
        <v>756</v>
      </c>
      <c r="I194">
        <v>590.65</v>
      </c>
      <c r="J194" t="s">
        <v>454</v>
      </c>
      <c r="K194" s="6">
        <v>14.82</v>
      </c>
      <c r="L194" s="6">
        <v>40</v>
      </c>
      <c r="M194" s="5">
        <v>0.3705</v>
      </c>
      <c r="N194" s="3">
        <v>943</v>
      </c>
      <c r="O194" s="10">
        <v>6</v>
      </c>
      <c r="P194" s="10">
        <v>68</v>
      </c>
      <c r="Q194" s="5">
        <v>8.8235294117647065E-2</v>
      </c>
      <c r="R194" s="5">
        <v>0.19</v>
      </c>
      <c r="S194" s="5">
        <v>0.46439399999999997</v>
      </c>
      <c r="T194" s="3">
        <v>1055</v>
      </c>
      <c r="U194" s="10">
        <v>2</v>
      </c>
      <c r="V194" s="10">
        <v>68</v>
      </c>
      <c r="W194" s="5">
        <v>2.9411764705882353E-2</v>
      </c>
      <c r="X194" s="5">
        <v>0.05</v>
      </c>
      <c r="Y194" s="5">
        <v>0.58821999999999997</v>
      </c>
      <c r="Z194" s="3">
        <v>465</v>
      </c>
      <c r="AA194" s="11">
        <v>1</v>
      </c>
      <c r="AB194" s="3">
        <v>741</v>
      </c>
      <c r="AC194">
        <v>10</v>
      </c>
      <c r="AD194" s="3">
        <v>1</v>
      </c>
      <c r="AE194">
        <v>0</v>
      </c>
      <c r="AF194">
        <v>6</v>
      </c>
      <c r="AG194" s="5">
        <v>0</v>
      </c>
      <c r="AH194" s="5">
        <v>0.1</v>
      </c>
      <c r="AI194" s="5">
        <v>0</v>
      </c>
      <c r="AJ194" s="3">
        <v>696</v>
      </c>
      <c r="AK194" s="5">
        <v>0.7777776666666667</v>
      </c>
      <c r="AL194" s="5">
        <v>0.4</v>
      </c>
      <c r="AM194" s="5">
        <v>1.944442</v>
      </c>
      <c r="AN194" s="3">
        <v>130</v>
      </c>
      <c r="AO194">
        <v>1</v>
      </c>
      <c r="AP194">
        <v>1</v>
      </c>
      <c r="AQ194" s="5">
        <v>1</v>
      </c>
      <c r="AR194" s="5">
        <v>0.8</v>
      </c>
      <c r="AS194" s="5">
        <v>1.25</v>
      </c>
      <c r="AT194" s="5">
        <v>1</v>
      </c>
    </row>
    <row r="195" spans="1:46" hidden="1">
      <c r="A195" t="str">
        <f>_xlfn.XLOOKUP(Table13[[#This Row],[SAP]],'Location List'!B:B,'Location List'!G:G)</f>
        <v>DFW NORTH</v>
      </c>
      <c r="B195" t="str">
        <f>LEFT(Table13[[#This Row],[Sap: Loaction]],4)</f>
        <v>904E</v>
      </c>
      <c r="C195" s="4" t="str">
        <f>_xlfn.XLOOKUP(Table13[[#This Row],[Employee]],'Location List'!M:M,'Location List'!N:N,"",0)</f>
        <v/>
      </c>
      <c r="D195" t="s">
        <v>973</v>
      </c>
      <c r="E195" t="s">
        <v>724</v>
      </c>
      <c r="F195" t="s">
        <v>525</v>
      </c>
      <c r="G195" s="3">
        <v>3</v>
      </c>
      <c r="H195" s="3">
        <v>758</v>
      </c>
      <c r="I195">
        <v>590.79999999999995</v>
      </c>
      <c r="J195" t="s">
        <v>454</v>
      </c>
      <c r="K195" s="6">
        <v>18.670000000000002</v>
      </c>
      <c r="L195" s="6">
        <v>35</v>
      </c>
      <c r="M195" s="5">
        <v>0.53342857142857147</v>
      </c>
      <c r="N195" s="3">
        <v>832</v>
      </c>
      <c r="O195" s="10">
        <v>8</v>
      </c>
      <c r="P195" s="10">
        <v>103</v>
      </c>
      <c r="Q195" s="5">
        <v>7.7669902912621352E-2</v>
      </c>
      <c r="R195" s="5">
        <v>0.19</v>
      </c>
      <c r="S195" s="5">
        <v>0.40878399999999998</v>
      </c>
      <c r="T195" s="3">
        <v>1110</v>
      </c>
      <c r="U195" s="10">
        <v>3</v>
      </c>
      <c r="V195" s="10">
        <v>103</v>
      </c>
      <c r="W195" s="5">
        <v>2.9126213592233011E-2</v>
      </c>
      <c r="X195" s="5">
        <v>0.05</v>
      </c>
      <c r="Y195" s="5">
        <v>0.58252000000000004</v>
      </c>
      <c r="Z195" s="3">
        <v>478</v>
      </c>
      <c r="AA195" s="11">
        <v>0.375</v>
      </c>
      <c r="AB195" s="3">
        <v>1272</v>
      </c>
      <c r="AC195">
        <v>10</v>
      </c>
      <c r="AD195" s="3">
        <v>1</v>
      </c>
      <c r="AE195">
        <v>1</v>
      </c>
      <c r="AF195">
        <v>7</v>
      </c>
      <c r="AG195" s="5">
        <v>0.14285714285714285</v>
      </c>
      <c r="AH195" s="5">
        <v>0.1</v>
      </c>
      <c r="AI195" s="5">
        <v>1.4285699999999999</v>
      </c>
      <c r="AJ195" s="3">
        <v>368</v>
      </c>
      <c r="AK195" s="5">
        <v>0.75</v>
      </c>
      <c r="AL195" s="5">
        <v>0.4</v>
      </c>
      <c r="AM195" s="5">
        <v>1.875</v>
      </c>
      <c r="AN195" s="3">
        <v>136</v>
      </c>
      <c r="AO195">
        <v>3</v>
      </c>
      <c r="AP195">
        <v>3</v>
      </c>
      <c r="AQ195" s="5">
        <v>1</v>
      </c>
      <c r="AR195" s="5">
        <v>0.8</v>
      </c>
      <c r="AS195" s="5">
        <v>1.25</v>
      </c>
      <c r="AT195" s="5">
        <v>1</v>
      </c>
    </row>
    <row r="196" spans="1:46" hidden="1">
      <c r="A196" t="str">
        <f>_xlfn.XLOOKUP(Table13[[#This Row],[SAP]],'Location List'!B:B,'Location List'!G:G)</f>
        <v>MO/IA/NE</v>
      </c>
      <c r="B196" t="str">
        <f>LEFT(Table13[[#This Row],[Sap: Loaction]],4)</f>
        <v>3ISR</v>
      </c>
      <c r="C196" s="4" t="str">
        <f>_xlfn.XLOOKUP(Table13[[#This Row],[Employee]],'Location List'!M:M,'Location List'!N:N,"",0)</f>
        <v/>
      </c>
      <c r="D196" t="s">
        <v>973</v>
      </c>
      <c r="E196" t="s">
        <v>640</v>
      </c>
      <c r="F196" t="s">
        <v>493</v>
      </c>
      <c r="G196" s="3">
        <v>3</v>
      </c>
      <c r="H196" s="3">
        <v>760</v>
      </c>
      <c r="I196">
        <v>590.85</v>
      </c>
      <c r="J196" t="s">
        <v>454</v>
      </c>
      <c r="K196" s="6">
        <v>32.25</v>
      </c>
      <c r="L196" s="6">
        <v>40</v>
      </c>
      <c r="M196" s="5">
        <v>0.80625000000000002</v>
      </c>
      <c r="N196" s="3">
        <v>635</v>
      </c>
      <c r="O196" s="10">
        <v>14</v>
      </c>
      <c r="P196" s="10">
        <v>79</v>
      </c>
      <c r="Q196" s="5">
        <v>0.17721518987341772</v>
      </c>
      <c r="R196" s="5">
        <v>0.19</v>
      </c>
      <c r="S196" s="5">
        <v>0.93271000000000004</v>
      </c>
      <c r="T196" s="3">
        <v>551</v>
      </c>
      <c r="U196" s="10">
        <v>2</v>
      </c>
      <c r="V196" s="10">
        <v>79</v>
      </c>
      <c r="W196" s="5">
        <v>2.5316455696202531E-2</v>
      </c>
      <c r="X196" s="5">
        <v>0.05</v>
      </c>
      <c r="Y196" s="5">
        <v>0.50631999999999999</v>
      </c>
      <c r="Z196" s="3">
        <v>532</v>
      </c>
      <c r="AA196" s="11">
        <v>0.66666599999999998</v>
      </c>
      <c r="AB196" s="3">
        <v>1060</v>
      </c>
      <c r="AC196">
        <v>5</v>
      </c>
      <c r="AD196" s="3">
        <v>62</v>
      </c>
      <c r="AE196">
        <v>0</v>
      </c>
      <c r="AF196">
        <v>20</v>
      </c>
      <c r="AG196" s="5">
        <v>0</v>
      </c>
      <c r="AH196" s="5">
        <v>0.1</v>
      </c>
      <c r="AI196" s="5">
        <v>0</v>
      </c>
      <c r="AJ196" s="3">
        <v>696</v>
      </c>
      <c r="AK196" s="5">
        <v>0.5</v>
      </c>
      <c r="AL196" s="5">
        <v>0.4</v>
      </c>
      <c r="AM196" s="5">
        <v>1.25</v>
      </c>
      <c r="AN196" s="3">
        <v>326</v>
      </c>
      <c r="AO196">
        <v>1</v>
      </c>
      <c r="AP196">
        <v>3</v>
      </c>
      <c r="AQ196" s="5">
        <v>0.33333333333333331</v>
      </c>
      <c r="AR196" s="5">
        <v>0.8</v>
      </c>
      <c r="AS196" s="5">
        <v>0.41666599999999998</v>
      </c>
      <c r="AT196" s="5">
        <v>830</v>
      </c>
    </row>
    <row r="197" spans="1:46" hidden="1">
      <c r="A197" t="str">
        <f>_xlfn.XLOOKUP(Table13[[#This Row],[SAP]],'Location List'!B:B,'Location List'!G:G)</f>
        <v>SOUTH TX/RGV</v>
      </c>
      <c r="B197" t="str">
        <f>LEFT(Table13[[#This Row],[Sap: Loaction]],4)</f>
        <v>2584</v>
      </c>
      <c r="C197" s="4" t="str">
        <f>_xlfn.XLOOKUP(Table13[[#This Row],[Employee]],'Location List'!M:M,'Location List'!N:N,"",0)</f>
        <v>RSM</v>
      </c>
      <c r="D197" t="s">
        <v>973</v>
      </c>
      <c r="E197" t="s">
        <v>920</v>
      </c>
      <c r="F197" t="s">
        <v>498</v>
      </c>
      <c r="G197" s="3">
        <v>3</v>
      </c>
      <c r="H197" s="3">
        <v>763</v>
      </c>
      <c r="I197">
        <v>591.75</v>
      </c>
      <c r="J197" t="s">
        <v>454</v>
      </c>
      <c r="K197" s="6">
        <v>6.6</v>
      </c>
      <c r="L197" s="6">
        <v>39.999999999999993</v>
      </c>
      <c r="M197" s="5">
        <v>0.16500000000000001</v>
      </c>
      <c r="N197" s="3">
        <v>1092</v>
      </c>
      <c r="O197" s="10">
        <v>3</v>
      </c>
      <c r="P197" s="10">
        <v>55</v>
      </c>
      <c r="Q197" s="5">
        <v>5.4545454545454543E-2</v>
      </c>
      <c r="R197" s="5">
        <v>0.19</v>
      </c>
      <c r="S197" s="5">
        <v>0.287078</v>
      </c>
      <c r="T197" s="3">
        <v>1201</v>
      </c>
      <c r="U197" s="10">
        <v>4</v>
      </c>
      <c r="V197" s="10">
        <v>55</v>
      </c>
      <c r="W197" s="5">
        <v>7.2727272727272724E-2</v>
      </c>
      <c r="X197" s="5">
        <v>0.05</v>
      </c>
      <c r="Y197" s="5">
        <v>1.4545399999999999</v>
      </c>
      <c r="Z197" s="3">
        <v>81</v>
      </c>
      <c r="AA197" s="11">
        <v>1.25</v>
      </c>
      <c r="AB197" s="3">
        <v>606</v>
      </c>
      <c r="AC197">
        <v>10</v>
      </c>
      <c r="AD197" s="3">
        <v>1</v>
      </c>
      <c r="AE197">
        <v>2</v>
      </c>
      <c r="AF197">
        <v>8</v>
      </c>
      <c r="AG197" s="5">
        <v>0.25</v>
      </c>
      <c r="AH197" s="5">
        <v>0.1</v>
      </c>
      <c r="AI197" s="5">
        <v>2.5</v>
      </c>
      <c r="AJ197" s="3">
        <v>191</v>
      </c>
      <c r="AK197" s="5">
        <v>1</v>
      </c>
      <c r="AL197" s="5">
        <v>0.4</v>
      </c>
      <c r="AM197" s="5">
        <v>2.5</v>
      </c>
      <c r="AN197" s="3">
        <v>1</v>
      </c>
      <c r="AO197">
        <v>0</v>
      </c>
      <c r="AP197">
        <v>0</v>
      </c>
      <c r="AQ197" s="5" t="s">
        <v>653</v>
      </c>
      <c r="AR197" s="5">
        <v>0.8</v>
      </c>
      <c r="AS197" s="5">
        <v>0</v>
      </c>
      <c r="AT197" s="5">
        <v>902</v>
      </c>
    </row>
    <row r="198" spans="1:46" hidden="1">
      <c r="A198" t="str">
        <f>_xlfn.XLOOKUP(Table13[[#This Row],[SAP]],'Location List'!B:B,'Location List'!G:G)</f>
        <v>DFW NORTH</v>
      </c>
      <c r="B198" t="str">
        <f>LEFT(Table13[[#This Row],[Sap: Loaction]],4)</f>
        <v>5429</v>
      </c>
      <c r="C198" s="4" t="str">
        <f>_xlfn.XLOOKUP(Table13[[#This Row],[Employee]],'Location List'!M:M,'Location List'!N:N,"",0)</f>
        <v/>
      </c>
      <c r="D198" t="s">
        <v>973</v>
      </c>
      <c r="E198" t="s">
        <v>654</v>
      </c>
      <c r="F198" t="s">
        <v>576</v>
      </c>
      <c r="G198" s="3">
        <v>3</v>
      </c>
      <c r="H198" s="3">
        <v>768</v>
      </c>
      <c r="I198">
        <v>593.75</v>
      </c>
      <c r="J198" t="s">
        <v>454</v>
      </c>
      <c r="K198" s="6">
        <v>31.59</v>
      </c>
      <c r="L198" s="6">
        <v>40</v>
      </c>
      <c r="M198" s="5">
        <v>0.78974999999999995</v>
      </c>
      <c r="N198" s="3">
        <v>649</v>
      </c>
      <c r="O198" s="10">
        <v>15</v>
      </c>
      <c r="P198" s="10">
        <v>138</v>
      </c>
      <c r="Q198" s="5">
        <v>0.10869565217391304</v>
      </c>
      <c r="R198" s="5">
        <v>0.19</v>
      </c>
      <c r="S198" s="5">
        <v>0.57207799999999998</v>
      </c>
      <c r="T198" s="3">
        <v>924</v>
      </c>
      <c r="U198" s="10">
        <v>5</v>
      </c>
      <c r="V198" s="10">
        <v>138</v>
      </c>
      <c r="W198" s="5">
        <v>3.6231884057971016E-2</v>
      </c>
      <c r="X198" s="5">
        <v>0.05</v>
      </c>
      <c r="Y198" s="5">
        <v>0.72462000000000004</v>
      </c>
      <c r="Z198" s="3">
        <v>373</v>
      </c>
      <c r="AA198" s="11">
        <v>1.3571420000000001</v>
      </c>
      <c r="AB198" s="3">
        <v>547</v>
      </c>
      <c r="AC198">
        <v>10</v>
      </c>
      <c r="AD198" s="3">
        <v>1</v>
      </c>
      <c r="AE198">
        <v>0</v>
      </c>
      <c r="AF198">
        <v>5</v>
      </c>
      <c r="AG198" s="5">
        <v>0</v>
      </c>
      <c r="AH198" s="5">
        <v>0.1</v>
      </c>
      <c r="AI198" s="5">
        <v>0</v>
      </c>
      <c r="AJ198" s="3">
        <v>696</v>
      </c>
      <c r="AK198" s="5">
        <v>0</v>
      </c>
      <c r="AL198" s="5">
        <v>0.4</v>
      </c>
      <c r="AM198" s="5">
        <v>0</v>
      </c>
      <c r="AN198" s="3">
        <v>1150</v>
      </c>
      <c r="AO198">
        <v>2</v>
      </c>
      <c r="AP198">
        <v>2</v>
      </c>
      <c r="AQ198" s="5">
        <v>1</v>
      </c>
      <c r="AR198" s="5">
        <v>0.8</v>
      </c>
      <c r="AS198" s="5">
        <v>1.25</v>
      </c>
      <c r="AT198" s="5">
        <v>1</v>
      </c>
    </row>
    <row r="199" spans="1:46">
      <c r="A199" t="str">
        <f>_xlfn.XLOOKUP(Table13[[#This Row],[SAP]],'Location List'!B:B,'Location List'!G:G)</f>
        <v>KS/OK</v>
      </c>
      <c r="B199" t="str">
        <f>LEFT(Table13[[#This Row],[Sap: Loaction]],4)</f>
        <v>407D</v>
      </c>
      <c r="C199" s="4" t="str">
        <f>_xlfn.XLOOKUP(Table13[[#This Row],[Employee]],'Location List'!M:M,'Location List'!N:N,"",0)</f>
        <v/>
      </c>
      <c r="D199" t="s">
        <v>973</v>
      </c>
      <c r="E199" t="s">
        <v>806</v>
      </c>
      <c r="F199" t="s">
        <v>556</v>
      </c>
      <c r="G199" s="3">
        <v>3</v>
      </c>
      <c r="H199" s="3">
        <v>773</v>
      </c>
      <c r="I199">
        <v>595.45000000000005</v>
      </c>
      <c r="J199" t="s">
        <v>454</v>
      </c>
      <c r="K199" s="6">
        <v>3.14</v>
      </c>
      <c r="L199" s="6">
        <v>40</v>
      </c>
      <c r="M199" s="5">
        <v>7.85E-2</v>
      </c>
      <c r="N199" s="3">
        <v>1149</v>
      </c>
      <c r="O199" s="10">
        <v>4</v>
      </c>
      <c r="P199" s="10">
        <v>39</v>
      </c>
      <c r="Q199" s="5">
        <v>0.10256410256410256</v>
      </c>
      <c r="R199" s="5">
        <v>0.19</v>
      </c>
      <c r="S199" s="5">
        <v>0.53981000000000001</v>
      </c>
      <c r="T199" s="3">
        <v>966</v>
      </c>
      <c r="U199" s="10">
        <v>2</v>
      </c>
      <c r="V199" s="10">
        <v>39</v>
      </c>
      <c r="W199" s="5">
        <v>5.128205128205128E-2</v>
      </c>
      <c r="X199" s="5">
        <v>0.05</v>
      </c>
      <c r="Y199" s="5">
        <v>1.0256400000000001</v>
      </c>
      <c r="Z199" s="3">
        <v>203</v>
      </c>
      <c r="AA199" s="11">
        <v>2.5</v>
      </c>
      <c r="AB199" s="3">
        <v>129</v>
      </c>
      <c r="AC199">
        <v>9.6666659999999993</v>
      </c>
      <c r="AD199" s="3">
        <v>10</v>
      </c>
      <c r="AE199">
        <v>1</v>
      </c>
      <c r="AF199">
        <v>10</v>
      </c>
      <c r="AG199" s="5">
        <v>0.1</v>
      </c>
      <c r="AH199" s="5">
        <v>0.1</v>
      </c>
      <c r="AI199" s="5">
        <v>1</v>
      </c>
      <c r="AJ199" s="3">
        <v>486</v>
      </c>
      <c r="AK199" s="5">
        <v>0.5</v>
      </c>
      <c r="AL199" s="5">
        <v>0.4</v>
      </c>
      <c r="AM199" s="5">
        <v>1.25</v>
      </c>
      <c r="AN199" s="3">
        <v>326</v>
      </c>
      <c r="AO199">
        <v>0</v>
      </c>
      <c r="AP199">
        <v>0</v>
      </c>
      <c r="AQ199" s="5" t="s">
        <v>653</v>
      </c>
      <c r="AR199" s="5">
        <v>0.8</v>
      </c>
      <c r="AS199" s="5">
        <v>0</v>
      </c>
      <c r="AT199" s="5">
        <v>902</v>
      </c>
    </row>
    <row r="200" spans="1:46">
      <c r="A200" t="str">
        <f>_xlfn.XLOOKUP(Table13[[#This Row],[SAP]],'Location List'!B:B,'Location List'!G:G)</f>
        <v>KS/OK</v>
      </c>
      <c r="B200" t="str">
        <f>LEFT(Table13[[#This Row],[Sap: Loaction]],4)</f>
        <v>4789</v>
      </c>
      <c r="C200" s="4" t="str">
        <f>_xlfn.XLOOKUP(Table13[[#This Row],[Employee]],'Location List'!M:M,'Location List'!N:N,"",0)</f>
        <v/>
      </c>
      <c r="D200" t="s">
        <v>973</v>
      </c>
      <c r="E200" t="s">
        <v>658</v>
      </c>
      <c r="F200" t="s">
        <v>501</v>
      </c>
      <c r="G200" s="3">
        <v>3</v>
      </c>
      <c r="H200" s="3">
        <v>774</v>
      </c>
      <c r="I200">
        <v>595.54999999999995</v>
      </c>
      <c r="J200" t="s">
        <v>454</v>
      </c>
      <c r="K200" s="6">
        <v>10.130000000000001</v>
      </c>
      <c r="L200" s="6">
        <v>40.000000000000007</v>
      </c>
      <c r="M200" s="5">
        <v>0.25324999999999998</v>
      </c>
      <c r="N200" s="3">
        <v>1035</v>
      </c>
      <c r="O200" s="10">
        <v>23</v>
      </c>
      <c r="P200" s="10">
        <v>113</v>
      </c>
      <c r="Q200" s="5">
        <v>0.20353982300884957</v>
      </c>
      <c r="R200" s="5">
        <v>0.19</v>
      </c>
      <c r="S200" s="5">
        <v>1.0712569999999999</v>
      </c>
      <c r="T200" s="3">
        <v>453</v>
      </c>
      <c r="U200" s="10">
        <v>0</v>
      </c>
      <c r="V200" s="10">
        <v>113</v>
      </c>
      <c r="W200" s="5">
        <v>0</v>
      </c>
      <c r="X200" s="5">
        <v>0.05</v>
      </c>
      <c r="Y200" s="5">
        <v>0</v>
      </c>
      <c r="Z200" s="3">
        <v>994</v>
      </c>
      <c r="AA200" s="11">
        <v>2.75</v>
      </c>
      <c r="AB200" s="3">
        <v>108</v>
      </c>
      <c r="AC200">
        <v>10</v>
      </c>
      <c r="AD200" s="3">
        <v>1</v>
      </c>
      <c r="AE200">
        <v>1</v>
      </c>
      <c r="AF200">
        <v>14</v>
      </c>
      <c r="AG200" s="5">
        <v>7.1428571428571425E-2</v>
      </c>
      <c r="AH200" s="5">
        <v>0.1</v>
      </c>
      <c r="AI200" s="5">
        <v>0.71428000000000003</v>
      </c>
      <c r="AJ200" s="3">
        <v>574</v>
      </c>
      <c r="AK200" s="5">
        <v>0.33333299999999999</v>
      </c>
      <c r="AL200" s="5">
        <v>0.4</v>
      </c>
      <c r="AM200" s="5">
        <v>0.83333199999999996</v>
      </c>
      <c r="AN200" s="3">
        <v>631</v>
      </c>
      <c r="AO200">
        <v>0</v>
      </c>
      <c r="AP200">
        <v>8</v>
      </c>
      <c r="AQ200">
        <v>0</v>
      </c>
      <c r="AR200" s="5">
        <v>0.8</v>
      </c>
      <c r="AS200" s="5">
        <v>0</v>
      </c>
      <c r="AT200" s="5">
        <v>902</v>
      </c>
    </row>
    <row r="201" spans="1:46">
      <c r="A201" t="str">
        <f>_xlfn.XLOOKUP(Table13[[#This Row],[SAP]],'Location List'!B:B,'Location List'!G:G)</f>
        <v>DFW NORTH</v>
      </c>
      <c r="B201" t="str">
        <f>LEFT(Table13[[#This Row],[Sap: Loaction]],4)</f>
        <v>5429</v>
      </c>
      <c r="C201" s="4" t="str">
        <f>_xlfn.XLOOKUP(Table13[[#This Row],[Employee]],'Location List'!M:M,'Location List'!N:N,"",0)</f>
        <v/>
      </c>
      <c r="D201" t="s">
        <v>973</v>
      </c>
      <c r="E201" t="s">
        <v>753</v>
      </c>
      <c r="F201" t="s">
        <v>576</v>
      </c>
      <c r="G201" s="3">
        <v>3</v>
      </c>
      <c r="H201" s="3">
        <v>780</v>
      </c>
      <c r="I201">
        <v>598.04999999999995</v>
      </c>
      <c r="J201" t="s">
        <v>454</v>
      </c>
      <c r="K201" s="6">
        <v>40.53</v>
      </c>
      <c r="L201" s="6">
        <v>40</v>
      </c>
      <c r="M201" s="5">
        <v>1.01325</v>
      </c>
      <c r="N201" s="3">
        <v>483</v>
      </c>
      <c r="O201" s="10">
        <v>18</v>
      </c>
      <c r="P201" s="10">
        <v>154</v>
      </c>
      <c r="Q201" s="5">
        <v>0.11688311688311688</v>
      </c>
      <c r="R201" s="5">
        <v>0.19</v>
      </c>
      <c r="S201" s="5">
        <v>0.61517299999999997</v>
      </c>
      <c r="T201" s="3">
        <v>880</v>
      </c>
      <c r="U201" s="10">
        <v>6</v>
      </c>
      <c r="V201" s="10">
        <v>154</v>
      </c>
      <c r="W201" s="5">
        <v>3.896103896103896E-2</v>
      </c>
      <c r="X201" s="5">
        <v>0.05</v>
      </c>
      <c r="Y201" s="5">
        <v>0.77922000000000002</v>
      </c>
      <c r="Z201" s="3">
        <v>340</v>
      </c>
      <c r="AA201" s="11">
        <v>1.5454540000000001</v>
      </c>
      <c r="AB201" s="3">
        <v>422</v>
      </c>
      <c r="AC201">
        <v>10</v>
      </c>
      <c r="AD201" s="3">
        <v>1</v>
      </c>
      <c r="AE201">
        <v>0</v>
      </c>
      <c r="AF201">
        <v>24</v>
      </c>
      <c r="AG201" s="5">
        <v>0</v>
      </c>
      <c r="AH201" s="5">
        <v>0.1</v>
      </c>
      <c r="AI201" s="5">
        <v>0</v>
      </c>
      <c r="AJ201" s="3">
        <v>696</v>
      </c>
      <c r="AK201" s="5">
        <v>0.27777766666666664</v>
      </c>
      <c r="AL201" s="5">
        <v>0.4</v>
      </c>
      <c r="AM201" s="5">
        <v>0.694442</v>
      </c>
      <c r="AN201" s="3">
        <v>787</v>
      </c>
      <c r="AO201">
        <v>0</v>
      </c>
      <c r="AP201">
        <v>1</v>
      </c>
      <c r="AQ201" s="5">
        <v>0</v>
      </c>
      <c r="AR201" s="5">
        <v>0.8</v>
      </c>
      <c r="AS201" s="5">
        <v>0</v>
      </c>
      <c r="AT201" s="5">
        <v>902</v>
      </c>
    </row>
    <row r="202" spans="1:46" hidden="1">
      <c r="A202" t="str">
        <f>_xlfn.XLOOKUP(Table13[[#This Row],[SAP]],'Location List'!B:B,'Location List'!G:G)</f>
        <v>KS/OK</v>
      </c>
      <c r="B202" t="str">
        <f>LEFT(Table13[[#This Row],[Sap: Loaction]],4)</f>
        <v>966D</v>
      </c>
      <c r="C202" s="4" t="str">
        <f>_xlfn.XLOOKUP(Table13[[#This Row],[Employee]],'Location List'!M:M,'Location List'!N:N,"",0)</f>
        <v/>
      </c>
      <c r="D202" t="s">
        <v>973</v>
      </c>
      <c r="E202" t="s">
        <v>625</v>
      </c>
      <c r="F202" t="s">
        <v>499</v>
      </c>
      <c r="G202" s="3">
        <v>3</v>
      </c>
      <c r="H202" s="3">
        <v>782</v>
      </c>
      <c r="I202">
        <v>598.29999999999995</v>
      </c>
      <c r="J202" t="s">
        <v>454</v>
      </c>
      <c r="K202" s="6">
        <v>38.67</v>
      </c>
      <c r="L202" s="6">
        <v>40</v>
      </c>
      <c r="M202" s="5">
        <v>0.96675</v>
      </c>
      <c r="N202" s="3">
        <v>516</v>
      </c>
      <c r="O202" s="10">
        <v>21</v>
      </c>
      <c r="P202" s="10">
        <v>108</v>
      </c>
      <c r="Q202" s="5">
        <v>0.19444444444444445</v>
      </c>
      <c r="R202" s="5">
        <v>0.19</v>
      </c>
      <c r="S202" s="5">
        <v>1.0233890000000001</v>
      </c>
      <c r="T202" s="3">
        <v>488</v>
      </c>
      <c r="U202" s="10">
        <v>2</v>
      </c>
      <c r="V202" s="10">
        <v>108</v>
      </c>
      <c r="W202" s="5">
        <v>1.8518518518518517E-2</v>
      </c>
      <c r="X202" s="5">
        <v>0.05</v>
      </c>
      <c r="Y202" s="5">
        <v>0.37036000000000002</v>
      </c>
      <c r="Z202" s="3">
        <v>698</v>
      </c>
      <c r="AA202" s="11">
        <v>0.68181800000000004</v>
      </c>
      <c r="AB202" s="3">
        <v>1059</v>
      </c>
      <c r="AC202">
        <v>8.5</v>
      </c>
      <c r="AD202" s="3">
        <v>29</v>
      </c>
      <c r="AE202">
        <v>1</v>
      </c>
      <c r="AF202">
        <v>24</v>
      </c>
      <c r="AG202" s="5">
        <v>4.1666666666666664E-2</v>
      </c>
      <c r="AH202" s="5">
        <v>0.1</v>
      </c>
      <c r="AI202" s="5">
        <v>0.41665999999999997</v>
      </c>
      <c r="AJ202" s="3">
        <v>670</v>
      </c>
      <c r="AK202" s="5">
        <v>0.33333333333333331</v>
      </c>
      <c r="AL202" s="5">
        <v>0.4</v>
      </c>
      <c r="AM202" s="5">
        <v>0.83333199999999996</v>
      </c>
      <c r="AN202" s="3">
        <v>631</v>
      </c>
      <c r="AO202">
        <v>3</v>
      </c>
      <c r="AP202">
        <v>7</v>
      </c>
      <c r="AQ202" s="5">
        <v>0.42857142857142855</v>
      </c>
      <c r="AR202" s="5">
        <v>0.8</v>
      </c>
      <c r="AS202" s="5">
        <v>0.53571299999999999</v>
      </c>
      <c r="AT202" s="5">
        <v>811</v>
      </c>
    </row>
    <row r="203" spans="1:46" hidden="1">
      <c r="A203" t="str">
        <f>_xlfn.XLOOKUP(Table13[[#This Row],[SAP]],'Location List'!B:B,'Location List'!G:G)</f>
        <v>SA SOUTH</v>
      </c>
      <c r="B203" t="str">
        <f>LEFT(Table13[[#This Row],[Sap: Loaction]],4)</f>
        <v>1VSE</v>
      </c>
      <c r="C203" s="4" t="str">
        <f>_xlfn.XLOOKUP(Table13[[#This Row],[Employee]],'Location List'!M:M,'Location List'!N:N,"",0)</f>
        <v/>
      </c>
      <c r="D203" t="s">
        <v>973</v>
      </c>
      <c r="E203" t="s">
        <v>734</v>
      </c>
      <c r="F203" t="s">
        <v>575</v>
      </c>
      <c r="G203" s="3">
        <v>3</v>
      </c>
      <c r="H203" s="3">
        <v>783</v>
      </c>
      <c r="I203">
        <v>598.75</v>
      </c>
      <c r="J203" t="s">
        <v>454</v>
      </c>
      <c r="K203" s="6">
        <v>41.8</v>
      </c>
      <c r="L203" s="6">
        <v>35</v>
      </c>
      <c r="M203" s="5">
        <v>1.1942857142857142</v>
      </c>
      <c r="N203" s="3">
        <v>371</v>
      </c>
      <c r="O203" s="10">
        <v>17</v>
      </c>
      <c r="P203" s="10">
        <v>141</v>
      </c>
      <c r="Q203" s="5">
        <v>0.12056737588652482</v>
      </c>
      <c r="R203" s="5">
        <v>0.19</v>
      </c>
      <c r="S203" s="5">
        <v>0.63456299999999999</v>
      </c>
      <c r="T203" s="3">
        <v>853</v>
      </c>
      <c r="U203" s="10">
        <v>5</v>
      </c>
      <c r="V203" s="10">
        <v>141</v>
      </c>
      <c r="W203" s="5">
        <v>3.5460992907801421E-2</v>
      </c>
      <c r="X203" s="5">
        <v>0.05</v>
      </c>
      <c r="Y203" s="5">
        <v>0.70920000000000005</v>
      </c>
      <c r="Z203" s="3">
        <v>379</v>
      </c>
      <c r="AA203" s="11">
        <v>0.71428499999999995</v>
      </c>
      <c r="AB203" s="3">
        <v>1028</v>
      </c>
      <c r="AC203">
        <v>10</v>
      </c>
      <c r="AD203" s="3">
        <v>1</v>
      </c>
      <c r="AE203">
        <v>1</v>
      </c>
      <c r="AF203">
        <v>19</v>
      </c>
      <c r="AG203" s="5">
        <v>5.2631578947368418E-2</v>
      </c>
      <c r="AH203" s="5">
        <v>0.1</v>
      </c>
      <c r="AI203" s="5">
        <v>0.52630999999999994</v>
      </c>
      <c r="AJ203" s="3">
        <v>630</v>
      </c>
      <c r="AK203" s="5">
        <v>0.33333333333333331</v>
      </c>
      <c r="AL203" s="5">
        <v>0.4</v>
      </c>
      <c r="AM203" s="5">
        <v>0.83333199999999996</v>
      </c>
      <c r="AN203" s="3">
        <v>631</v>
      </c>
      <c r="AO203">
        <v>3</v>
      </c>
      <c r="AP203">
        <v>6</v>
      </c>
      <c r="AQ203" s="5">
        <v>0.5</v>
      </c>
      <c r="AR203" s="5">
        <v>0.8</v>
      </c>
      <c r="AS203" s="5">
        <v>0.625</v>
      </c>
      <c r="AT203" s="5">
        <v>741</v>
      </c>
    </row>
    <row r="204" spans="1:46" hidden="1">
      <c r="A204" t="str">
        <f>_xlfn.XLOOKUP(Table13[[#This Row],[SAP]],'Location List'!B:B,'Location List'!G:G)</f>
        <v>DFW EAST</v>
      </c>
      <c r="B204" t="str">
        <f>LEFT(Table13[[#This Row],[Sap: Loaction]],4)</f>
        <v>618E</v>
      </c>
      <c r="C204" s="4" t="str">
        <f>_xlfn.XLOOKUP(Table13[[#This Row],[Employee]],'Location List'!M:M,'Location List'!N:N,"",0)</f>
        <v/>
      </c>
      <c r="D204" t="s">
        <v>973</v>
      </c>
      <c r="E204" t="s">
        <v>897</v>
      </c>
      <c r="F204" t="s">
        <v>511</v>
      </c>
      <c r="G204" s="3">
        <v>3</v>
      </c>
      <c r="H204" s="3">
        <v>785</v>
      </c>
      <c r="I204">
        <v>600.79999999999995</v>
      </c>
      <c r="J204" t="s">
        <v>454</v>
      </c>
      <c r="K204" s="6">
        <v>0.42</v>
      </c>
      <c r="L204" s="6">
        <v>30</v>
      </c>
      <c r="M204" s="5">
        <v>1.4E-2</v>
      </c>
      <c r="N204" s="3">
        <v>1196</v>
      </c>
      <c r="O204" s="10">
        <v>8</v>
      </c>
      <c r="P204" s="10">
        <v>63</v>
      </c>
      <c r="Q204" s="5">
        <v>0.12698412698412698</v>
      </c>
      <c r="R204" s="5">
        <v>0.19</v>
      </c>
      <c r="S204" s="5">
        <v>0.66833600000000004</v>
      </c>
      <c r="T204" s="3">
        <v>820</v>
      </c>
      <c r="U204" s="10">
        <v>0</v>
      </c>
      <c r="V204" s="10">
        <v>63</v>
      </c>
      <c r="W204" s="5">
        <v>0</v>
      </c>
      <c r="X204" s="5">
        <v>0.05</v>
      </c>
      <c r="Y204" s="5">
        <v>0</v>
      </c>
      <c r="Z204" s="3">
        <v>994</v>
      </c>
      <c r="AA204" s="11">
        <v>1.75</v>
      </c>
      <c r="AB204" s="3">
        <v>324</v>
      </c>
      <c r="AC204">
        <v>0</v>
      </c>
      <c r="AD204" s="3">
        <v>75</v>
      </c>
      <c r="AE204">
        <v>0</v>
      </c>
      <c r="AF204">
        <v>8</v>
      </c>
      <c r="AG204" s="5">
        <v>0</v>
      </c>
      <c r="AH204" s="5">
        <v>0.1</v>
      </c>
      <c r="AI204" s="5">
        <v>0</v>
      </c>
      <c r="AJ204" s="3">
        <v>696</v>
      </c>
      <c r="AK204" s="5">
        <v>0.75</v>
      </c>
      <c r="AL204" s="5">
        <v>0.4</v>
      </c>
      <c r="AM204" s="5">
        <v>1.875</v>
      </c>
      <c r="AN204" s="3">
        <v>136</v>
      </c>
      <c r="AO204">
        <v>3</v>
      </c>
      <c r="AP204">
        <v>3</v>
      </c>
      <c r="AQ204" s="5">
        <v>1</v>
      </c>
      <c r="AR204" s="5">
        <v>0.8</v>
      </c>
      <c r="AS204" s="5">
        <v>1.25</v>
      </c>
      <c r="AT204" s="5">
        <v>1</v>
      </c>
    </row>
    <row r="205" spans="1:46" hidden="1">
      <c r="A205" t="str">
        <f>_xlfn.XLOOKUP(Table13[[#This Row],[SAP]],'Location List'!B:B,'Location List'!G:G)</f>
        <v>KS/OK</v>
      </c>
      <c r="B205" t="str">
        <f>LEFT(Table13[[#This Row],[Sap: Loaction]],4)</f>
        <v>4789</v>
      </c>
      <c r="C205" s="4" t="str">
        <f>_xlfn.XLOOKUP(Table13[[#This Row],[Employee]],'Location List'!M:M,'Location List'!N:N,"",0)</f>
        <v/>
      </c>
      <c r="D205" t="s">
        <v>973</v>
      </c>
      <c r="E205" t="s">
        <v>913</v>
      </c>
      <c r="F205" t="s">
        <v>501</v>
      </c>
      <c r="G205" s="3">
        <v>3</v>
      </c>
      <c r="H205" s="3">
        <v>787</v>
      </c>
      <c r="I205">
        <v>601.54999999999995</v>
      </c>
      <c r="J205" t="s">
        <v>454</v>
      </c>
      <c r="K205" s="6">
        <v>16.02</v>
      </c>
      <c r="L205" s="6">
        <v>40</v>
      </c>
      <c r="M205" s="5">
        <v>0.40050000000000002</v>
      </c>
      <c r="N205" s="3">
        <v>927</v>
      </c>
      <c r="O205" s="10">
        <v>14</v>
      </c>
      <c r="P205" s="10">
        <v>111</v>
      </c>
      <c r="Q205" s="5">
        <v>0.12612612612612611</v>
      </c>
      <c r="R205" s="5">
        <v>0.19</v>
      </c>
      <c r="S205" s="5">
        <v>0.66382099999999999</v>
      </c>
      <c r="T205" s="3">
        <v>828</v>
      </c>
      <c r="U205" s="10">
        <v>1</v>
      </c>
      <c r="V205" s="10">
        <v>111</v>
      </c>
      <c r="W205" s="5">
        <v>9.0090090090090089E-3</v>
      </c>
      <c r="X205" s="5">
        <v>0.05</v>
      </c>
      <c r="Y205" s="5">
        <v>0.18018000000000001</v>
      </c>
      <c r="Z205" s="3">
        <v>959</v>
      </c>
      <c r="AA205" s="11">
        <v>1.125</v>
      </c>
      <c r="AB205" s="3">
        <v>696</v>
      </c>
      <c r="AC205">
        <v>9.5</v>
      </c>
      <c r="AD205" s="3">
        <v>14</v>
      </c>
      <c r="AE205">
        <v>0</v>
      </c>
      <c r="AF205">
        <v>5</v>
      </c>
      <c r="AG205" s="5">
        <v>0</v>
      </c>
      <c r="AH205" s="5">
        <v>0.1</v>
      </c>
      <c r="AI205" s="5">
        <v>0</v>
      </c>
      <c r="AJ205" s="3">
        <v>696</v>
      </c>
      <c r="AK205" s="5">
        <v>0.58730133333333334</v>
      </c>
      <c r="AL205" s="5">
        <v>0.4</v>
      </c>
      <c r="AM205" s="5">
        <v>1.4682519999999999</v>
      </c>
      <c r="AN205" s="3">
        <v>255</v>
      </c>
      <c r="AO205">
        <v>3</v>
      </c>
      <c r="AP205">
        <v>3</v>
      </c>
      <c r="AQ205" s="5">
        <v>1</v>
      </c>
      <c r="AR205" s="5">
        <v>0.8</v>
      </c>
      <c r="AS205" s="5">
        <v>1.25</v>
      </c>
      <c r="AT205" s="5">
        <v>1</v>
      </c>
    </row>
    <row r="206" spans="1:46">
      <c r="A206" t="str">
        <f>_xlfn.XLOOKUP(Table13[[#This Row],[SAP]],'Location List'!B:B,'Location List'!G:G)</f>
        <v>SA/HILL COUNTRY</v>
      </c>
      <c r="B206" t="str">
        <f>LEFT(Table13[[#This Row],[Sap: Loaction]],4)</f>
        <v>1ESB</v>
      </c>
      <c r="C206" s="4" t="str">
        <f>_xlfn.XLOOKUP(Table13[[#This Row],[Employee]],'Location List'!M:M,'Location List'!N:N,"",0)</f>
        <v/>
      </c>
      <c r="D206" t="s">
        <v>973</v>
      </c>
      <c r="E206" t="s">
        <v>631</v>
      </c>
      <c r="F206" t="s">
        <v>515</v>
      </c>
      <c r="G206" s="3">
        <v>3</v>
      </c>
      <c r="H206" s="3">
        <v>793</v>
      </c>
      <c r="I206">
        <v>604.45000000000005</v>
      </c>
      <c r="J206" t="s">
        <v>454</v>
      </c>
      <c r="K206" s="6">
        <v>34.6</v>
      </c>
      <c r="L206" s="6">
        <v>40</v>
      </c>
      <c r="M206" s="5">
        <v>0.86499999999999999</v>
      </c>
      <c r="N206" s="3">
        <v>591</v>
      </c>
      <c r="O206" s="10">
        <v>10</v>
      </c>
      <c r="P206" s="10">
        <v>83</v>
      </c>
      <c r="Q206" s="5">
        <v>0.12048192771084337</v>
      </c>
      <c r="R206" s="5">
        <v>0.19</v>
      </c>
      <c r="S206" s="5">
        <v>0.63410999999999995</v>
      </c>
      <c r="T206" s="3">
        <v>854</v>
      </c>
      <c r="U206" s="10">
        <v>6</v>
      </c>
      <c r="V206" s="10">
        <v>83</v>
      </c>
      <c r="W206" s="5">
        <v>7.2289156626506021E-2</v>
      </c>
      <c r="X206" s="5">
        <v>0.05</v>
      </c>
      <c r="Y206" s="5">
        <v>1.4457800000000001</v>
      </c>
      <c r="Z206" s="3">
        <v>84</v>
      </c>
      <c r="AA206" s="11">
        <v>0.45454499999999998</v>
      </c>
      <c r="AB206" s="3">
        <v>1227</v>
      </c>
      <c r="AC206">
        <v>10</v>
      </c>
      <c r="AD206" s="3">
        <v>1</v>
      </c>
      <c r="AE206">
        <v>2</v>
      </c>
      <c r="AF206">
        <v>13</v>
      </c>
      <c r="AG206" s="5">
        <v>0.15384615384615385</v>
      </c>
      <c r="AH206" s="5">
        <v>0.1</v>
      </c>
      <c r="AI206" s="5">
        <v>1.5384599999999999</v>
      </c>
      <c r="AJ206" s="3">
        <v>356</v>
      </c>
      <c r="AK206" s="5">
        <v>0.16666666666666666</v>
      </c>
      <c r="AL206" s="5">
        <v>0.4</v>
      </c>
      <c r="AM206" s="5">
        <v>0.41666500000000001</v>
      </c>
      <c r="AN206" s="3">
        <v>960</v>
      </c>
      <c r="AO206">
        <v>3</v>
      </c>
      <c r="AP206">
        <v>4</v>
      </c>
      <c r="AQ206" s="5">
        <v>0.75</v>
      </c>
      <c r="AR206" s="5">
        <v>0.8</v>
      </c>
      <c r="AS206" s="5">
        <v>0.9375</v>
      </c>
      <c r="AT206" s="5">
        <v>644</v>
      </c>
    </row>
    <row r="207" spans="1:46" hidden="1">
      <c r="A207" t="str">
        <f>_xlfn.XLOOKUP(Table13[[#This Row],[SAP]],'Location List'!B:B,'Location List'!G:G)</f>
        <v>CENTRAL TEXAS</v>
      </c>
      <c r="B207" t="str">
        <f>LEFT(Table13[[#This Row],[Sap: Loaction]],4)</f>
        <v>1FSU</v>
      </c>
      <c r="C207" s="4" t="str">
        <f>_xlfn.XLOOKUP(Table13[[#This Row],[Employee]],'Location List'!M:M,'Location List'!N:N,"",0)</f>
        <v/>
      </c>
      <c r="D207" t="s">
        <v>973</v>
      </c>
      <c r="E207" t="s">
        <v>923</v>
      </c>
      <c r="F207" t="s">
        <v>523</v>
      </c>
      <c r="G207" s="3">
        <v>3</v>
      </c>
      <c r="H207" s="3">
        <v>799</v>
      </c>
      <c r="I207">
        <v>606.95000000000005</v>
      </c>
      <c r="J207" t="s">
        <v>454</v>
      </c>
      <c r="K207" s="6">
        <v>14.27</v>
      </c>
      <c r="L207" s="6">
        <v>29.999999999999996</v>
      </c>
      <c r="M207" s="5">
        <v>0.47566666666666668</v>
      </c>
      <c r="N207" s="3">
        <v>874</v>
      </c>
      <c r="O207" s="10">
        <v>3</v>
      </c>
      <c r="P207" s="10">
        <v>27</v>
      </c>
      <c r="Q207" s="5">
        <v>0.1111111111111111</v>
      </c>
      <c r="R207" s="5">
        <v>0.19</v>
      </c>
      <c r="S207" s="5">
        <v>0.58479400000000004</v>
      </c>
      <c r="T207" s="3">
        <v>910</v>
      </c>
      <c r="U207" s="10">
        <v>3</v>
      </c>
      <c r="V207" s="10">
        <v>27</v>
      </c>
      <c r="W207" s="5">
        <v>0.1111111111111111</v>
      </c>
      <c r="X207" s="5">
        <v>0.05</v>
      </c>
      <c r="Y207" s="5">
        <v>2.2222200000000001</v>
      </c>
      <c r="Z207" s="3">
        <v>18</v>
      </c>
      <c r="AA207" s="11">
        <v>1.3333330000000001</v>
      </c>
      <c r="AB207" s="3">
        <v>550</v>
      </c>
      <c r="AC207">
        <v>10</v>
      </c>
      <c r="AD207" s="3">
        <v>1</v>
      </c>
      <c r="AE207">
        <v>1</v>
      </c>
      <c r="AF207">
        <v>6</v>
      </c>
      <c r="AG207" s="5">
        <v>0.16666666666666666</v>
      </c>
      <c r="AH207" s="5">
        <v>0.1</v>
      </c>
      <c r="AI207" s="5">
        <v>1.66666</v>
      </c>
      <c r="AJ207" s="3">
        <v>319</v>
      </c>
      <c r="AK207" s="5">
        <v>0</v>
      </c>
      <c r="AL207" s="5">
        <v>0.4</v>
      </c>
      <c r="AM207" s="5">
        <v>0</v>
      </c>
      <c r="AN207" s="3">
        <v>1150</v>
      </c>
      <c r="AO207">
        <v>1</v>
      </c>
      <c r="AP207">
        <v>2</v>
      </c>
      <c r="AQ207" s="5">
        <v>0.5</v>
      </c>
      <c r="AR207" s="5">
        <v>0.8</v>
      </c>
      <c r="AS207" s="5">
        <v>0.625</v>
      </c>
      <c r="AT207" s="5">
        <v>741</v>
      </c>
    </row>
    <row r="208" spans="1:46" hidden="1">
      <c r="A208" t="str">
        <f>_xlfn.XLOOKUP(Table13[[#This Row],[SAP]],'Location List'!B:B,'Location List'!G:G)</f>
        <v>CENTRAL TEXAS</v>
      </c>
      <c r="B208" t="str">
        <f>LEFT(Table13[[#This Row],[Sap: Loaction]],4)</f>
        <v>1FSI</v>
      </c>
      <c r="C208" s="4" t="str">
        <f>_xlfn.XLOOKUP(Table13[[#This Row],[Employee]],'Location List'!M:M,'Location List'!N:N,"",0)</f>
        <v/>
      </c>
      <c r="D208" t="s">
        <v>973</v>
      </c>
      <c r="E208" t="s">
        <v>812</v>
      </c>
      <c r="F208" t="s">
        <v>520</v>
      </c>
      <c r="G208" s="3">
        <v>3</v>
      </c>
      <c r="H208" s="3">
        <v>802</v>
      </c>
      <c r="I208">
        <v>607.29999999999995</v>
      </c>
      <c r="J208" t="s">
        <v>454</v>
      </c>
      <c r="K208" s="6">
        <v>28.86</v>
      </c>
      <c r="L208" s="6">
        <v>35</v>
      </c>
      <c r="M208" s="5">
        <v>0.82457142857142862</v>
      </c>
      <c r="N208" s="3">
        <v>622</v>
      </c>
      <c r="O208" s="10">
        <v>5</v>
      </c>
      <c r="P208" s="10">
        <v>85</v>
      </c>
      <c r="Q208" s="5">
        <v>5.8823529411764705E-2</v>
      </c>
      <c r="R208" s="5">
        <v>0.19</v>
      </c>
      <c r="S208" s="5">
        <v>0.30959399999999998</v>
      </c>
      <c r="T208" s="3">
        <v>1186</v>
      </c>
      <c r="U208" s="10">
        <v>5</v>
      </c>
      <c r="V208" s="10">
        <v>85</v>
      </c>
      <c r="W208" s="5">
        <v>5.8823529411764705E-2</v>
      </c>
      <c r="X208" s="5">
        <v>0.05</v>
      </c>
      <c r="Y208" s="5">
        <v>1.1764600000000001</v>
      </c>
      <c r="Z208" s="3">
        <v>138</v>
      </c>
      <c r="AA208" s="11">
        <v>1.3</v>
      </c>
      <c r="AB208" s="3">
        <v>582</v>
      </c>
      <c r="AC208">
        <v>9.8333329999999997</v>
      </c>
      <c r="AD208" s="3">
        <v>5</v>
      </c>
      <c r="AE208">
        <v>0</v>
      </c>
      <c r="AF208">
        <v>7</v>
      </c>
      <c r="AG208" s="5">
        <v>0</v>
      </c>
      <c r="AH208" s="5">
        <v>0.1</v>
      </c>
      <c r="AI208" s="5">
        <v>0</v>
      </c>
      <c r="AJ208" s="3">
        <v>696</v>
      </c>
      <c r="AK208" s="5">
        <v>0.58333333333333337</v>
      </c>
      <c r="AL208" s="5">
        <v>0.4</v>
      </c>
      <c r="AM208" s="5">
        <v>1.458332</v>
      </c>
      <c r="AN208" s="3">
        <v>258</v>
      </c>
      <c r="AO208">
        <v>1</v>
      </c>
      <c r="AP208">
        <v>2</v>
      </c>
      <c r="AQ208" s="5">
        <v>0.5</v>
      </c>
      <c r="AR208" s="5">
        <v>0.8</v>
      </c>
      <c r="AS208" s="5">
        <v>0.625</v>
      </c>
      <c r="AT208" s="5">
        <v>741</v>
      </c>
    </row>
    <row r="209" spans="1:46" hidden="1">
      <c r="A209" t="str">
        <f>_xlfn.XLOOKUP(Table13[[#This Row],[SAP]],'Location List'!B:B,'Location List'!G:G)</f>
        <v>DFW EAST</v>
      </c>
      <c r="B209" t="str">
        <f>LEFT(Table13[[#This Row],[Sap: Loaction]],4)</f>
        <v>0115</v>
      </c>
      <c r="C209" s="4" t="str">
        <f>_xlfn.XLOOKUP(Table13[[#This Row],[Employee]],'Location List'!M:M,'Location List'!N:N,"",0)</f>
        <v/>
      </c>
      <c r="D209" t="s">
        <v>973</v>
      </c>
      <c r="E209" t="s">
        <v>903</v>
      </c>
      <c r="F209" t="s">
        <v>530</v>
      </c>
      <c r="G209" s="3">
        <v>3</v>
      </c>
      <c r="H209" s="3">
        <v>805</v>
      </c>
      <c r="I209">
        <v>608.6</v>
      </c>
      <c r="J209" t="s">
        <v>454</v>
      </c>
      <c r="K209" s="6">
        <v>47.12</v>
      </c>
      <c r="L209" s="6">
        <v>40</v>
      </c>
      <c r="M209" s="5">
        <v>1.1779999999999999</v>
      </c>
      <c r="N209" s="3">
        <v>382</v>
      </c>
      <c r="O209" s="10">
        <v>8</v>
      </c>
      <c r="P209" s="10">
        <v>57</v>
      </c>
      <c r="Q209" s="5">
        <v>0.14035087719298245</v>
      </c>
      <c r="R209" s="5">
        <v>0.19</v>
      </c>
      <c r="S209" s="5">
        <v>0.73868400000000001</v>
      </c>
      <c r="T209" s="3">
        <v>738</v>
      </c>
      <c r="U209" s="10">
        <v>2</v>
      </c>
      <c r="V209" s="10">
        <v>57</v>
      </c>
      <c r="W209" s="5">
        <v>3.5087719298245612E-2</v>
      </c>
      <c r="X209" s="5">
        <v>0.05</v>
      </c>
      <c r="Y209" s="5">
        <v>0.70174000000000003</v>
      </c>
      <c r="Z209" s="3">
        <v>381</v>
      </c>
      <c r="AA209" s="11">
        <v>1</v>
      </c>
      <c r="AB209" s="3">
        <v>741</v>
      </c>
      <c r="AC209">
        <v>0</v>
      </c>
      <c r="AD209" s="3">
        <v>75</v>
      </c>
      <c r="AE209">
        <v>0</v>
      </c>
      <c r="AF209">
        <v>12</v>
      </c>
      <c r="AG209" s="5">
        <v>0</v>
      </c>
      <c r="AH209" s="5">
        <v>0.1</v>
      </c>
      <c r="AI209" s="5">
        <v>0</v>
      </c>
      <c r="AJ209" s="3">
        <v>696</v>
      </c>
      <c r="AK209" s="5">
        <v>0.222222</v>
      </c>
      <c r="AL209" s="5">
        <v>0.4</v>
      </c>
      <c r="AM209" s="5">
        <v>0.55555500000000002</v>
      </c>
      <c r="AN209" s="3">
        <v>894</v>
      </c>
      <c r="AQ209" s="5"/>
      <c r="AR209" s="5">
        <v>0.8</v>
      </c>
      <c r="AS209" s="5">
        <v>0</v>
      </c>
      <c r="AT209" s="5">
        <v>902</v>
      </c>
    </row>
    <row r="210" spans="1:46" hidden="1">
      <c r="A210" t="str">
        <f>_xlfn.XLOOKUP(Table13[[#This Row],[SAP]],'Location List'!B:B,'Location List'!G:G)</f>
        <v>KS/OK</v>
      </c>
      <c r="B210" t="str">
        <f>LEFT(Table13[[#This Row],[Sap: Loaction]],4)</f>
        <v>857C</v>
      </c>
      <c r="C210" s="4" t="str">
        <f>_xlfn.XLOOKUP(Table13[[#This Row],[Employee]],'Location List'!M:M,'Location List'!N:N,"",0)</f>
        <v/>
      </c>
      <c r="D210" t="s">
        <v>973</v>
      </c>
      <c r="E210" t="s">
        <v>859</v>
      </c>
      <c r="F210" t="s">
        <v>572</v>
      </c>
      <c r="G210" s="3">
        <v>3</v>
      </c>
      <c r="H210" s="3">
        <v>806</v>
      </c>
      <c r="I210">
        <v>608.65</v>
      </c>
      <c r="J210" t="s">
        <v>454</v>
      </c>
      <c r="K210" s="6">
        <v>18.420000000000002</v>
      </c>
      <c r="L210" s="6">
        <v>40</v>
      </c>
      <c r="M210" s="5">
        <v>0.46050000000000002</v>
      </c>
      <c r="N210" s="3">
        <v>887</v>
      </c>
      <c r="O210" s="10">
        <v>6</v>
      </c>
      <c r="P210" s="10">
        <v>68</v>
      </c>
      <c r="Q210" s="5">
        <v>8.8235294117647065E-2</v>
      </c>
      <c r="R210" s="5">
        <v>0.19</v>
      </c>
      <c r="S210" s="5">
        <v>0.46439399999999997</v>
      </c>
      <c r="T210" s="3">
        <v>1055</v>
      </c>
      <c r="U210" s="10">
        <v>4</v>
      </c>
      <c r="V210" s="10">
        <v>68</v>
      </c>
      <c r="W210" s="5">
        <v>5.8823529411764705E-2</v>
      </c>
      <c r="X210" s="5">
        <v>0.05</v>
      </c>
      <c r="Y210" s="5">
        <v>1.1764600000000001</v>
      </c>
      <c r="Z210" s="3">
        <v>138</v>
      </c>
      <c r="AA210" s="11">
        <v>0.77777700000000005</v>
      </c>
      <c r="AB210" s="3">
        <v>979</v>
      </c>
      <c r="AC210">
        <v>8</v>
      </c>
      <c r="AD210" s="3">
        <v>36</v>
      </c>
      <c r="AE210">
        <v>1</v>
      </c>
      <c r="AF210">
        <v>14</v>
      </c>
      <c r="AG210" s="5">
        <v>7.1428571428571425E-2</v>
      </c>
      <c r="AH210" s="5">
        <v>0.1</v>
      </c>
      <c r="AI210" s="5">
        <v>0.71428000000000003</v>
      </c>
      <c r="AJ210" s="3">
        <v>574</v>
      </c>
      <c r="AK210" s="5">
        <v>0.33333333333333331</v>
      </c>
      <c r="AL210" s="5">
        <v>0.4</v>
      </c>
      <c r="AM210" s="5">
        <v>0.83333199999999996</v>
      </c>
      <c r="AN210" s="3">
        <v>631</v>
      </c>
      <c r="AO210">
        <v>2</v>
      </c>
      <c r="AP210">
        <v>2</v>
      </c>
      <c r="AQ210" s="5">
        <v>1</v>
      </c>
      <c r="AR210" s="5">
        <v>0.8</v>
      </c>
      <c r="AS210" s="5">
        <v>1.25</v>
      </c>
      <c r="AT210" s="5">
        <v>1</v>
      </c>
    </row>
    <row r="211" spans="1:46" hidden="1">
      <c r="A211" t="str">
        <f>_xlfn.XLOOKUP(Table13[[#This Row],[SAP]],'Location List'!B:B,'Location List'!G:G)</f>
        <v>CENTRAL TEXAS</v>
      </c>
      <c r="B211" t="str">
        <f>LEFT(Table13[[#This Row],[Sap: Loaction]],4)</f>
        <v>545D</v>
      </c>
      <c r="C211" s="4" t="str">
        <f>_xlfn.XLOOKUP(Table13[[#This Row],[Employee]],'Location List'!M:M,'Location List'!N:N,"",0)</f>
        <v/>
      </c>
      <c r="D211" t="s">
        <v>973</v>
      </c>
      <c r="E211" t="s">
        <v>728</v>
      </c>
      <c r="F211" t="s">
        <v>496</v>
      </c>
      <c r="G211" s="3">
        <v>3</v>
      </c>
      <c r="H211" s="3">
        <v>807</v>
      </c>
      <c r="I211">
        <v>608.75</v>
      </c>
      <c r="J211" t="s">
        <v>454</v>
      </c>
      <c r="K211" s="6">
        <v>7.07</v>
      </c>
      <c r="L211" s="6">
        <v>35</v>
      </c>
      <c r="M211" s="5">
        <v>0.20200000000000001</v>
      </c>
      <c r="N211" s="3">
        <v>1059</v>
      </c>
      <c r="O211" s="10">
        <v>6</v>
      </c>
      <c r="P211" s="10">
        <v>57</v>
      </c>
      <c r="Q211" s="5">
        <v>0.10526315789473684</v>
      </c>
      <c r="R211" s="5">
        <v>0.19</v>
      </c>
      <c r="S211" s="5">
        <v>0.55401500000000004</v>
      </c>
      <c r="T211" s="3">
        <v>950</v>
      </c>
      <c r="U211" s="10">
        <v>0</v>
      </c>
      <c r="V211" s="10">
        <v>57</v>
      </c>
      <c r="W211" s="5">
        <v>0</v>
      </c>
      <c r="X211" s="5">
        <v>0.05</v>
      </c>
      <c r="Y211" s="5">
        <v>0</v>
      </c>
      <c r="Z211" s="3">
        <v>994</v>
      </c>
      <c r="AA211" s="11">
        <v>4</v>
      </c>
      <c r="AB211" s="3">
        <v>29</v>
      </c>
      <c r="AC211">
        <v>10</v>
      </c>
      <c r="AD211" s="3">
        <v>1</v>
      </c>
      <c r="AE211">
        <v>0</v>
      </c>
      <c r="AF211">
        <v>2</v>
      </c>
      <c r="AG211" s="5">
        <v>0</v>
      </c>
      <c r="AH211" s="5">
        <v>0.1</v>
      </c>
      <c r="AI211" s="5">
        <v>0</v>
      </c>
      <c r="AJ211" s="3">
        <v>696</v>
      </c>
      <c r="AK211" s="5">
        <v>0.4166665</v>
      </c>
      <c r="AL211" s="5">
        <v>0.4</v>
      </c>
      <c r="AM211" s="5">
        <v>1.0416650000000001</v>
      </c>
      <c r="AN211" s="3">
        <v>530</v>
      </c>
      <c r="AO211">
        <v>4</v>
      </c>
      <c r="AP211">
        <v>4</v>
      </c>
      <c r="AQ211" s="5">
        <v>1</v>
      </c>
      <c r="AR211" s="5">
        <v>0.8</v>
      </c>
      <c r="AS211" s="5">
        <v>1.25</v>
      </c>
      <c r="AT211" s="5">
        <v>1</v>
      </c>
    </row>
    <row r="212" spans="1:46">
      <c r="A212" t="str">
        <f>_xlfn.XLOOKUP(Table13[[#This Row],[SAP]],'Location List'!B:B,'Location List'!G:G)</f>
        <v>CENTRAL TEXAS</v>
      </c>
      <c r="B212" t="str">
        <f>LEFT(Table13[[#This Row],[Sap: Loaction]],4)</f>
        <v>961F</v>
      </c>
      <c r="C212" s="4" t="str">
        <f>_xlfn.XLOOKUP(Table13[[#This Row],[Employee]],'Location List'!M:M,'Location List'!N:N,"",0)</f>
        <v/>
      </c>
      <c r="D212" t="s">
        <v>973</v>
      </c>
      <c r="E212" t="s">
        <v>815</v>
      </c>
      <c r="F212" t="s">
        <v>547</v>
      </c>
      <c r="G212" s="3">
        <v>3</v>
      </c>
      <c r="H212" s="3">
        <v>811</v>
      </c>
      <c r="I212">
        <v>610.45000000000005</v>
      </c>
      <c r="J212" t="s">
        <v>454</v>
      </c>
      <c r="K212" s="6">
        <v>17.91</v>
      </c>
      <c r="L212" s="6">
        <v>35</v>
      </c>
      <c r="M212" s="5">
        <v>0.51171428571428568</v>
      </c>
      <c r="N212" s="3">
        <v>851</v>
      </c>
      <c r="O212" s="10">
        <v>11</v>
      </c>
      <c r="P212" s="10">
        <v>42</v>
      </c>
      <c r="Q212" s="5">
        <v>0.26190476190476192</v>
      </c>
      <c r="R212" s="5">
        <v>0.19</v>
      </c>
      <c r="S212" s="5">
        <v>1.3784419999999999</v>
      </c>
      <c r="T212" s="3">
        <v>244</v>
      </c>
      <c r="U212" s="10">
        <v>1</v>
      </c>
      <c r="V212" s="10">
        <v>42</v>
      </c>
      <c r="W212" s="5">
        <v>2.3809523809523808E-2</v>
      </c>
      <c r="X212" s="5">
        <v>0.05</v>
      </c>
      <c r="Y212" s="5">
        <v>0.47617999999999999</v>
      </c>
      <c r="Z212" s="3">
        <v>562</v>
      </c>
      <c r="AA212" s="11">
        <v>0.66666599999999998</v>
      </c>
      <c r="AB212" s="3">
        <v>1060</v>
      </c>
      <c r="AC212">
        <v>10</v>
      </c>
      <c r="AD212" s="3">
        <v>1</v>
      </c>
      <c r="AE212">
        <v>0</v>
      </c>
      <c r="AF212">
        <v>1</v>
      </c>
      <c r="AG212" s="5">
        <v>0</v>
      </c>
      <c r="AH212" s="5">
        <v>0.1</v>
      </c>
      <c r="AI212" s="5">
        <v>0</v>
      </c>
      <c r="AJ212" s="3">
        <v>696</v>
      </c>
      <c r="AK212" s="5">
        <v>0.16666666666666666</v>
      </c>
      <c r="AL212" s="5">
        <v>0.4</v>
      </c>
      <c r="AM212" s="5">
        <v>0.41666500000000001</v>
      </c>
      <c r="AN212" s="3">
        <v>960</v>
      </c>
      <c r="AO212">
        <v>3</v>
      </c>
      <c r="AP212">
        <v>5</v>
      </c>
      <c r="AQ212" s="5">
        <v>0.6</v>
      </c>
      <c r="AR212" s="5">
        <v>0.8</v>
      </c>
      <c r="AS212" s="5">
        <v>0.75</v>
      </c>
      <c r="AT212" s="5">
        <v>713</v>
      </c>
    </row>
    <row r="213" spans="1:46" hidden="1">
      <c r="A213" t="str">
        <f>_xlfn.XLOOKUP(Table13[[#This Row],[SAP]],'Location List'!B:B,'Location List'!G:G)</f>
        <v>KS/OK</v>
      </c>
      <c r="B213" t="str">
        <f>LEFT(Table13[[#This Row],[Sap: Loaction]],4)</f>
        <v>114E</v>
      </c>
      <c r="C213" s="4" t="str">
        <f>_xlfn.XLOOKUP(Table13[[#This Row],[Employee]],'Location List'!M:M,'Location List'!N:N,"",0)</f>
        <v/>
      </c>
      <c r="D213" t="s">
        <v>973</v>
      </c>
      <c r="E213" t="s">
        <v>819</v>
      </c>
      <c r="F213" t="s">
        <v>571</v>
      </c>
      <c r="G213" s="3">
        <v>3</v>
      </c>
      <c r="H213" s="3">
        <v>812</v>
      </c>
      <c r="I213">
        <v>610.65</v>
      </c>
      <c r="J213" t="s">
        <v>454</v>
      </c>
      <c r="K213" s="6">
        <v>40.51</v>
      </c>
      <c r="L213" s="6">
        <v>35</v>
      </c>
      <c r="M213" s="5">
        <v>1.1574285714285715</v>
      </c>
      <c r="N213" s="3">
        <v>400</v>
      </c>
      <c r="O213" s="10">
        <v>12</v>
      </c>
      <c r="P213" s="10">
        <v>88</v>
      </c>
      <c r="Q213" s="5">
        <v>0.13636363636363635</v>
      </c>
      <c r="R213" s="5">
        <v>0.19</v>
      </c>
      <c r="S213" s="5">
        <v>0.7177</v>
      </c>
      <c r="T213" s="3">
        <v>766</v>
      </c>
      <c r="U213" s="10">
        <v>0</v>
      </c>
      <c r="V213" s="10">
        <v>88</v>
      </c>
      <c r="W213" s="5">
        <v>0</v>
      </c>
      <c r="X213" s="5">
        <v>0.05</v>
      </c>
      <c r="Y213" s="5">
        <v>0</v>
      </c>
      <c r="Z213" s="3">
        <v>994</v>
      </c>
      <c r="AA213" s="11">
        <v>1.4</v>
      </c>
      <c r="AB213" s="3">
        <v>509</v>
      </c>
      <c r="AC213">
        <v>9.1999999999999993</v>
      </c>
      <c r="AD213" s="3">
        <v>19</v>
      </c>
      <c r="AE213">
        <v>1</v>
      </c>
      <c r="AF213">
        <v>17</v>
      </c>
      <c r="AG213" s="5">
        <v>5.8823529411764705E-2</v>
      </c>
      <c r="AH213" s="5">
        <v>0.1</v>
      </c>
      <c r="AI213" s="5">
        <v>0.58823000000000003</v>
      </c>
      <c r="AJ213" s="3">
        <v>613</v>
      </c>
      <c r="AK213" s="5">
        <v>0.33333299999999999</v>
      </c>
      <c r="AL213" s="5">
        <v>0.4</v>
      </c>
      <c r="AM213" s="5">
        <v>0.83333199999999996</v>
      </c>
      <c r="AN213" s="3">
        <v>631</v>
      </c>
      <c r="AO213">
        <v>0</v>
      </c>
      <c r="AP213">
        <v>0</v>
      </c>
      <c r="AQ213" s="5" t="s">
        <v>653</v>
      </c>
      <c r="AR213" s="5">
        <v>0.8</v>
      </c>
      <c r="AS213" s="5">
        <v>0</v>
      </c>
      <c r="AT213" s="5">
        <v>902</v>
      </c>
    </row>
    <row r="214" spans="1:46">
      <c r="A214" t="str">
        <f>_xlfn.XLOOKUP(Table13[[#This Row],[SAP]],'Location List'!B:B,'Location List'!G:G)</f>
        <v>KS/OK</v>
      </c>
      <c r="B214" t="str">
        <f>LEFT(Table13[[#This Row],[Sap: Loaction]],4)</f>
        <v>5280</v>
      </c>
      <c r="C214" s="4" t="str">
        <f>_xlfn.XLOOKUP(Table13[[#This Row],[Employee]],'Location List'!M:M,'Location List'!N:N,"",0)</f>
        <v/>
      </c>
      <c r="D214" t="s">
        <v>973</v>
      </c>
      <c r="E214" t="s">
        <v>675</v>
      </c>
      <c r="F214" t="s">
        <v>494</v>
      </c>
      <c r="G214" s="3">
        <v>3</v>
      </c>
      <c r="H214" s="3">
        <v>813</v>
      </c>
      <c r="I214">
        <v>610.70000000000005</v>
      </c>
      <c r="J214" t="s">
        <v>454</v>
      </c>
      <c r="K214" s="6">
        <v>8.07</v>
      </c>
      <c r="L214" s="6">
        <v>40</v>
      </c>
      <c r="M214" s="5">
        <v>0.20175000000000001</v>
      </c>
      <c r="N214" s="3">
        <v>1061</v>
      </c>
      <c r="O214" s="10">
        <v>7</v>
      </c>
      <c r="P214" s="10">
        <v>67</v>
      </c>
      <c r="Q214" s="5">
        <v>0.1044776119402985</v>
      </c>
      <c r="R214" s="5">
        <v>0.19</v>
      </c>
      <c r="S214" s="5">
        <v>0.54987799999999998</v>
      </c>
      <c r="T214" s="3">
        <v>958</v>
      </c>
      <c r="U214" s="10">
        <v>2</v>
      </c>
      <c r="V214" s="10">
        <v>67</v>
      </c>
      <c r="W214" s="5">
        <v>2.9850746268656716E-2</v>
      </c>
      <c r="X214" s="5">
        <v>0.05</v>
      </c>
      <c r="Y214" s="5">
        <v>0.59699999999999998</v>
      </c>
      <c r="Z214" s="3">
        <v>458</v>
      </c>
      <c r="AA214" s="11">
        <v>1.571428</v>
      </c>
      <c r="AB214" s="3">
        <v>407</v>
      </c>
      <c r="AC214">
        <v>10</v>
      </c>
      <c r="AD214" s="3">
        <v>1</v>
      </c>
      <c r="AE214">
        <v>1</v>
      </c>
      <c r="AF214">
        <v>11</v>
      </c>
      <c r="AG214" s="5">
        <v>9.0909090909090912E-2</v>
      </c>
      <c r="AH214" s="5">
        <v>0.1</v>
      </c>
      <c r="AI214" s="5">
        <v>0.90908999999999995</v>
      </c>
      <c r="AJ214" s="3">
        <v>515</v>
      </c>
      <c r="AK214" s="5">
        <v>0.1666665</v>
      </c>
      <c r="AL214" s="5">
        <v>0.4</v>
      </c>
      <c r="AM214" s="5">
        <v>0.41666500000000001</v>
      </c>
      <c r="AN214" s="3">
        <v>960</v>
      </c>
      <c r="AO214">
        <v>1</v>
      </c>
      <c r="AP214">
        <v>1</v>
      </c>
      <c r="AQ214" s="5">
        <v>1</v>
      </c>
      <c r="AR214" s="5">
        <v>0.8</v>
      </c>
      <c r="AS214" s="5">
        <v>1.25</v>
      </c>
      <c r="AT214" s="5">
        <v>1</v>
      </c>
    </row>
    <row r="215" spans="1:46" hidden="1">
      <c r="A215" t="str">
        <f>_xlfn.XLOOKUP(Table13[[#This Row],[SAP]],'Location List'!B:B,'Location List'!G:G)</f>
        <v>WEST TEXAS</v>
      </c>
      <c r="B215" t="str">
        <f>LEFT(Table13[[#This Row],[Sap: Loaction]],4)</f>
        <v>930E</v>
      </c>
      <c r="C215" s="4" t="str">
        <f>_xlfn.XLOOKUP(Table13[[#This Row],[Employee]],'Location List'!M:M,'Location List'!N:N,"",0)</f>
        <v/>
      </c>
      <c r="D215" t="s">
        <v>973</v>
      </c>
      <c r="E215" t="s">
        <v>984</v>
      </c>
      <c r="F215" t="s">
        <v>552</v>
      </c>
      <c r="G215" s="3">
        <v>3</v>
      </c>
      <c r="H215" s="3">
        <v>815</v>
      </c>
      <c r="I215">
        <v>611.35</v>
      </c>
      <c r="J215" t="s">
        <v>454</v>
      </c>
      <c r="K215" s="6">
        <v>61.83</v>
      </c>
      <c r="L215" s="6">
        <v>40</v>
      </c>
      <c r="M215" s="5">
        <v>1.54575</v>
      </c>
      <c r="N215" s="3">
        <v>215</v>
      </c>
      <c r="O215" s="10">
        <v>11</v>
      </c>
      <c r="P215" s="10">
        <v>94</v>
      </c>
      <c r="Q215" s="5">
        <v>0.11702127659574468</v>
      </c>
      <c r="R215" s="5">
        <v>0.19</v>
      </c>
      <c r="S215" s="5">
        <v>0.6159</v>
      </c>
      <c r="T215" s="3">
        <v>877</v>
      </c>
      <c r="U215" s="10">
        <v>10</v>
      </c>
      <c r="V215" s="10">
        <v>94</v>
      </c>
      <c r="W215" s="5">
        <v>0.10638297872340426</v>
      </c>
      <c r="X215" s="5">
        <v>0.05</v>
      </c>
      <c r="Y215" s="5">
        <v>2.12764</v>
      </c>
      <c r="Z215" s="3">
        <v>22</v>
      </c>
      <c r="AA215" s="11">
        <v>0.76922999999999997</v>
      </c>
      <c r="AB215" s="3">
        <v>983</v>
      </c>
      <c r="AC215">
        <v>10</v>
      </c>
      <c r="AD215" s="3">
        <v>1</v>
      </c>
      <c r="AE215">
        <v>0</v>
      </c>
      <c r="AF215">
        <v>17</v>
      </c>
      <c r="AG215" s="5">
        <v>0</v>
      </c>
      <c r="AH215" s="5">
        <v>0.1</v>
      </c>
      <c r="AI215" s="5">
        <v>0</v>
      </c>
      <c r="AJ215" s="3">
        <v>696</v>
      </c>
      <c r="AK215" s="5">
        <v>0.1</v>
      </c>
      <c r="AL215" s="5">
        <v>0.4</v>
      </c>
      <c r="AM215" s="5">
        <v>0.25</v>
      </c>
      <c r="AN215" s="3">
        <v>1085</v>
      </c>
      <c r="AO215">
        <v>0</v>
      </c>
      <c r="AP215">
        <v>1</v>
      </c>
      <c r="AQ215" s="5">
        <v>0</v>
      </c>
      <c r="AR215" s="5">
        <v>0.8</v>
      </c>
      <c r="AS215" s="5">
        <v>0</v>
      </c>
      <c r="AT215" s="5">
        <v>902</v>
      </c>
    </row>
    <row r="216" spans="1:46">
      <c r="A216" t="str">
        <f>_xlfn.XLOOKUP(Table13[[#This Row],[SAP]],'Location List'!B:B,'Location List'!G:G)</f>
        <v>DFW NORTH</v>
      </c>
      <c r="B216" t="str">
        <f>LEFT(Table13[[#This Row],[Sap: Loaction]],4)</f>
        <v>5429</v>
      </c>
      <c r="C216" s="4" t="str">
        <f>_xlfn.XLOOKUP(Table13[[#This Row],[Employee]],'Location List'!M:M,'Location List'!N:N,"",0)</f>
        <v>RSM</v>
      </c>
      <c r="D216" t="s">
        <v>973</v>
      </c>
      <c r="E216" t="s">
        <v>957</v>
      </c>
      <c r="F216" t="s">
        <v>576</v>
      </c>
      <c r="G216" s="3">
        <v>3</v>
      </c>
      <c r="H216" s="3">
        <v>816</v>
      </c>
      <c r="I216">
        <v>611.54999999999995</v>
      </c>
      <c r="J216" t="s">
        <v>454</v>
      </c>
      <c r="K216" s="6">
        <v>20.95</v>
      </c>
      <c r="L216" s="6">
        <v>39.999999999999993</v>
      </c>
      <c r="M216" s="5">
        <v>0.52375000000000005</v>
      </c>
      <c r="N216" s="3">
        <v>840</v>
      </c>
      <c r="O216" s="10">
        <v>11</v>
      </c>
      <c r="P216" s="10">
        <v>114</v>
      </c>
      <c r="Q216" s="5">
        <v>9.6491228070175433E-2</v>
      </c>
      <c r="R216" s="5">
        <v>0.19</v>
      </c>
      <c r="S216" s="5">
        <v>0.50784700000000005</v>
      </c>
      <c r="T216" s="3">
        <v>1008</v>
      </c>
      <c r="U216" s="10">
        <v>5</v>
      </c>
      <c r="V216" s="10">
        <v>114</v>
      </c>
      <c r="W216" s="5">
        <v>4.3859649122807015E-2</v>
      </c>
      <c r="X216" s="5">
        <v>0.05</v>
      </c>
      <c r="Y216" s="5">
        <v>0.87717999999999996</v>
      </c>
      <c r="Z216" s="3">
        <v>285</v>
      </c>
      <c r="AA216" s="11">
        <v>1.25</v>
      </c>
      <c r="AB216" s="3">
        <v>606</v>
      </c>
      <c r="AC216">
        <v>9</v>
      </c>
      <c r="AD216" s="3">
        <v>22</v>
      </c>
      <c r="AE216">
        <v>1</v>
      </c>
      <c r="AF216">
        <v>12</v>
      </c>
      <c r="AG216" s="5">
        <v>8.3333333333333329E-2</v>
      </c>
      <c r="AH216" s="5">
        <v>0.1</v>
      </c>
      <c r="AI216" s="5">
        <v>0.83333000000000002</v>
      </c>
      <c r="AJ216" s="3">
        <v>535</v>
      </c>
      <c r="AK216" s="5">
        <v>0.625</v>
      </c>
      <c r="AL216" s="5">
        <v>0.4</v>
      </c>
      <c r="AM216" s="5">
        <v>1.5625</v>
      </c>
      <c r="AN216" s="3">
        <v>222</v>
      </c>
      <c r="AO216">
        <v>0</v>
      </c>
      <c r="AP216">
        <v>0</v>
      </c>
      <c r="AQ216" t="s">
        <v>653</v>
      </c>
      <c r="AR216" s="5">
        <v>0.8</v>
      </c>
      <c r="AS216" s="5">
        <v>0</v>
      </c>
      <c r="AT216" s="5">
        <v>902</v>
      </c>
    </row>
    <row r="217" spans="1:46" hidden="1">
      <c r="A217" t="str">
        <f>_xlfn.XLOOKUP(Table13[[#This Row],[SAP]],'Location List'!B:B,'Location List'!G:G)</f>
        <v>MO/IA/NE</v>
      </c>
      <c r="B217" t="str">
        <f>LEFT(Table13[[#This Row],[Sap: Loaction]],4)</f>
        <v>4BSR</v>
      </c>
      <c r="C217" s="4" t="str">
        <f>_xlfn.XLOOKUP(Table13[[#This Row],[Employee]],'Location List'!M:M,'Location List'!N:N,"",0)</f>
        <v/>
      </c>
      <c r="D217" t="s">
        <v>973</v>
      </c>
      <c r="E217" t="s">
        <v>741</v>
      </c>
      <c r="F217" t="s">
        <v>558</v>
      </c>
      <c r="G217" s="3">
        <v>3</v>
      </c>
      <c r="H217" s="3">
        <v>820</v>
      </c>
      <c r="I217">
        <v>612.6</v>
      </c>
      <c r="J217" t="s">
        <v>454</v>
      </c>
      <c r="K217" s="6">
        <v>26.45</v>
      </c>
      <c r="L217" s="6">
        <v>35</v>
      </c>
      <c r="M217" s="5">
        <v>0.75571428571428567</v>
      </c>
      <c r="N217" s="3">
        <v>674</v>
      </c>
      <c r="O217" s="10">
        <v>5</v>
      </c>
      <c r="P217" s="10">
        <v>80</v>
      </c>
      <c r="Q217" s="5">
        <v>6.25E-2</v>
      </c>
      <c r="R217" s="5">
        <v>0.19</v>
      </c>
      <c r="S217" s="5">
        <v>0.32894699999999999</v>
      </c>
      <c r="T217" s="3">
        <v>1173</v>
      </c>
      <c r="U217" s="10">
        <v>3</v>
      </c>
      <c r="V217" s="10">
        <v>80</v>
      </c>
      <c r="W217" s="5">
        <v>3.7499999999999999E-2</v>
      </c>
      <c r="X217" s="5">
        <v>0.05</v>
      </c>
      <c r="Y217" s="5">
        <v>0.75</v>
      </c>
      <c r="Z217" s="3">
        <v>356</v>
      </c>
      <c r="AA217" s="11">
        <v>1.571428</v>
      </c>
      <c r="AB217" s="3">
        <v>407</v>
      </c>
      <c r="AC217">
        <v>10</v>
      </c>
      <c r="AD217" s="3">
        <v>1</v>
      </c>
      <c r="AE217">
        <v>0</v>
      </c>
      <c r="AF217">
        <v>9</v>
      </c>
      <c r="AG217" s="5">
        <v>0</v>
      </c>
      <c r="AH217" s="5">
        <v>0.1</v>
      </c>
      <c r="AI217" s="5">
        <v>0</v>
      </c>
      <c r="AJ217" s="3">
        <v>696</v>
      </c>
      <c r="AK217" s="5">
        <v>0.1666665</v>
      </c>
      <c r="AL217" s="5">
        <v>0.4</v>
      </c>
      <c r="AM217" s="5">
        <v>0.41666500000000001</v>
      </c>
      <c r="AN217" s="3">
        <v>960</v>
      </c>
      <c r="AO217">
        <v>1</v>
      </c>
      <c r="AP217">
        <v>1</v>
      </c>
      <c r="AQ217" s="5">
        <v>1</v>
      </c>
      <c r="AR217" s="5">
        <v>0.8</v>
      </c>
      <c r="AS217" s="5">
        <v>1.25</v>
      </c>
      <c r="AT217" s="5">
        <v>1</v>
      </c>
    </row>
    <row r="218" spans="1:46" hidden="1">
      <c r="A218" t="str">
        <f>_xlfn.XLOOKUP(Table13[[#This Row],[SAP]],'Location List'!B:B,'Location List'!G:G)</f>
        <v>SA SOUTH</v>
      </c>
      <c r="B218" t="str">
        <f>LEFT(Table13[[#This Row],[Sap: Loaction]],4)</f>
        <v>1ESL</v>
      </c>
      <c r="C218" s="4" t="str">
        <f>_xlfn.XLOOKUP(Table13[[#This Row],[Employee]],'Location List'!M:M,'Location List'!N:N,"",0)</f>
        <v/>
      </c>
      <c r="D218" t="s">
        <v>973</v>
      </c>
      <c r="E218" t="s">
        <v>716</v>
      </c>
      <c r="F218" t="s">
        <v>519</v>
      </c>
      <c r="G218" s="3">
        <v>3</v>
      </c>
      <c r="H218" s="3">
        <v>824</v>
      </c>
      <c r="I218">
        <v>613.79999999999995</v>
      </c>
      <c r="J218" t="s">
        <v>454</v>
      </c>
      <c r="K218" s="6">
        <v>22.89</v>
      </c>
      <c r="L218" s="6">
        <v>35</v>
      </c>
      <c r="M218" s="5">
        <v>0.65400000000000003</v>
      </c>
      <c r="N218" s="3">
        <v>750</v>
      </c>
      <c r="O218" s="10">
        <v>24</v>
      </c>
      <c r="P218" s="10">
        <v>118</v>
      </c>
      <c r="Q218" s="5">
        <v>0.20338983050847459</v>
      </c>
      <c r="R218" s="5">
        <v>0.19</v>
      </c>
      <c r="S218" s="5">
        <v>1.070468</v>
      </c>
      <c r="T218" s="3">
        <v>454</v>
      </c>
      <c r="U218" s="10">
        <v>0</v>
      </c>
      <c r="V218" s="10">
        <v>118</v>
      </c>
      <c r="W218" s="5">
        <v>0</v>
      </c>
      <c r="X218" s="5">
        <v>0.05</v>
      </c>
      <c r="Y218" s="5">
        <v>0</v>
      </c>
      <c r="Z218" s="3">
        <v>994</v>
      </c>
      <c r="AA218" s="11">
        <v>1.1000000000000001</v>
      </c>
      <c r="AB218" s="3">
        <v>722</v>
      </c>
      <c r="AC218">
        <v>0</v>
      </c>
      <c r="AD218" s="3">
        <v>75</v>
      </c>
      <c r="AE218">
        <v>0</v>
      </c>
      <c r="AF218">
        <v>4</v>
      </c>
      <c r="AG218" s="5">
        <v>0</v>
      </c>
      <c r="AH218" s="5">
        <v>0.1</v>
      </c>
      <c r="AI218" s="5">
        <v>0</v>
      </c>
      <c r="AJ218" s="3">
        <v>696</v>
      </c>
      <c r="AK218" s="5">
        <v>0.4166665</v>
      </c>
      <c r="AL218" s="5">
        <v>0.4</v>
      </c>
      <c r="AM218" s="5">
        <v>1.0416650000000001</v>
      </c>
      <c r="AN218" s="3">
        <v>530</v>
      </c>
      <c r="AO218">
        <v>6</v>
      </c>
      <c r="AP218">
        <v>11</v>
      </c>
      <c r="AQ218" s="5">
        <v>0.54545454545454541</v>
      </c>
      <c r="AR218" s="5">
        <v>0.8</v>
      </c>
      <c r="AS218" s="5">
        <v>0.68181700000000001</v>
      </c>
      <c r="AT218" s="5">
        <v>740</v>
      </c>
    </row>
    <row r="219" spans="1:46" hidden="1">
      <c r="A219" t="str">
        <f>_xlfn.XLOOKUP(Table13[[#This Row],[SAP]],'Location List'!B:B,'Location List'!G:G)</f>
        <v>SA SOUTH</v>
      </c>
      <c r="B219" t="str">
        <f>LEFT(Table13[[#This Row],[Sap: Loaction]],4)</f>
        <v>1ESF</v>
      </c>
      <c r="C219" s="4" t="str">
        <f>_xlfn.XLOOKUP(Table13[[#This Row],[Employee]],'Location List'!M:M,'Location List'!N:N,"",0)</f>
        <v/>
      </c>
      <c r="D219" t="s">
        <v>973</v>
      </c>
      <c r="E219" t="s">
        <v>727</v>
      </c>
      <c r="F219" t="s">
        <v>568</v>
      </c>
      <c r="G219" s="3">
        <v>3</v>
      </c>
      <c r="H219" s="3">
        <v>826</v>
      </c>
      <c r="I219">
        <v>614.54999999999995</v>
      </c>
      <c r="J219" t="s">
        <v>454</v>
      </c>
      <c r="K219" s="6">
        <v>28.88</v>
      </c>
      <c r="L219" s="6">
        <v>40</v>
      </c>
      <c r="M219" s="5">
        <v>0.72199999999999998</v>
      </c>
      <c r="N219" s="3">
        <v>695</v>
      </c>
      <c r="O219" s="10">
        <v>10</v>
      </c>
      <c r="P219" s="10">
        <v>99</v>
      </c>
      <c r="Q219" s="5">
        <v>0.10101010101010101</v>
      </c>
      <c r="R219" s="5">
        <v>0.19</v>
      </c>
      <c r="S219" s="5">
        <v>0.53163099999999996</v>
      </c>
      <c r="T219" s="3">
        <v>984</v>
      </c>
      <c r="U219" s="10">
        <v>3</v>
      </c>
      <c r="V219" s="10">
        <v>99</v>
      </c>
      <c r="W219" s="5">
        <v>3.0303030303030304E-2</v>
      </c>
      <c r="X219" s="5">
        <v>0.05</v>
      </c>
      <c r="Y219" s="5">
        <v>0.60606000000000004</v>
      </c>
      <c r="Z219" s="3">
        <v>442</v>
      </c>
      <c r="AA219" s="11">
        <v>0.8</v>
      </c>
      <c r="AB219" s="3">
        <v>958</v>
      </c>
      <c r="AC219">
        <v>10</v>
      </c>
      <c r="AD219" s="3">
        <v>1</v>
      </c>
      <c r="AE219">
        <v>1</v>
      </c>
      <c r="AF219">
        <v>13</v>
      </c>
      <c r="AG219" s="5">
        <v>7.6923076923076927E-2</v>
      </c>
      <c r="AH219" s="5">
        <v>0.1</v>
      </c>
      <c r="AI219" s="5">
        <v>0.76922999999999997</v>
      </c>
      <c r="AJ219" s="3">
        <v>554</v>
      </c>
      <c r="AK219" s="5">
        <v>1</v>
      </c>
      <c r="AL219" s="5">
        <v>0.4</v>
      </c>
      <c r="AM219" s="5">
        <v>2.5</v>
      </c>
      <c r="AN219" s="3">
        <v>1</v>
      </c>
      <c r="AO219">
        <v>0</v>
      </c>
      <c r="AP219">
        <v>0</v>
      </c>
      <c r="AQ219" s="5" t="s">
        <v>653</v>
      </c>
      <c r="AR219" s="5">
        <v>0.8</v>
      </c>
      <c r="AS219" s="5">
        <v>0</v>
      </c>
      <c r="AT219" s="5">
        <v>902</v>
      </c>
    </row>
    <row r="220" spans="1:46" hidden="1">
      <c r="A220" t="str">
        <f>_xlfn.XLOOKUP(Table13[[#This Row],[SAP]],'Location List'!B:B,'Location List'!G:G)</f>
        <v>DFW EAST</v>
      </c>
      <c r="B220" t="str">
        <f>LEFT(Table13[[#This Row],[Sap: Loaction]],4)</f>
        <v>5784</v>
      </c>
      <c r="C220" s="4" t="str">
        <f>_xlfn.XLOOKUP(Table13[[#This Row],[Employee]],'Location List'!M:M,'Location List'!N:N,"",0)</f>
        <v/>
      </c>
      <c r="D220" t="s">
        <v>973</v>
      </c>
      <c r="E220" t="s">
        <v>760</v>
      </c>
      <c r="F220" t="s">
        <v>541</v>
      </c>
      <c r="G220" s="3">
        <v>3</v>
      </c>
      <c r="H220" s="3">
        <v>829</v>
      </c>
      <c r="I220">
        <v>615</v>
      </c>
      <c r="J220" t="s">
        <v>454</v>
      </c>
      <c r="K220" s="6">
        <v>18.739999999999998</v>
      </c>
      <c r="L220" s="6">
        <v>39.999999999999993</v>
      </c>
      <c r="M220" s="5">
        <v>0.46850000000000003</v>
      </c>
      <c r="N220" s="3">
        <v>878</v>
      </c>
      <c r="O220" s="10">
        <v>10</v>
      </c>
      <c r="P220" s="10">
        <v>109</v>
      </c>
      <c r="Q220" s="5">
        <v>9.1743119266055051E-2</v>
      </c>
      <c r="R220" s="5">
        <v>0.19</v>
      </c>
      <c r="S220" s="5">
        <v>0.48285699999999998</v>
      </c>
      <c r="T220" s="3">
        <v>1034</v>
      </c>
      <c r="U220" s="10">
        <v>0</v>
      </c>
      <c r="V220" s="10">
        <v>109</v>
      </c>
      <c r="W220" s="5">
        <v>0</v>
      </c>
      <c r="X220" s="5">
        <v>0.05</v>
      </c>
      <c r="Y220" s="5">
        <v>0</v>
      </c>
      <c r="Z220" s="3">
        <v>994</v>
      </c>
      <c r="AA220" s="11">
        <v>1.4</v>
      </c>
      <c r="AB220" s="3">
        <v>509</v>
      </c>
      <c r="AC220">
        <v>6.6666660000000002</v>
      </c>
      <c r="AD220" s="3">
        <v>48</v>
      </c>
      <c r="AE220">
        <v>2</v>
      </c>
      <c r="AF220">
        <v>18</v>
      </c>
      <c r="AG220" s="5">
        <v>0.1111111111111111</v>
      </c>
      <c r="AH220" s="5">
        <v>0.1</v>
      </c>
      <c r="AI220" s="5">
        <v>1.11111</v>
      </c>
      <c r="AJ220" s="3">
        <v>442</v>
      </c>
      <c r="AK220" s="5">
        <v>0.4</v>
      </c>
      <c r="AL220" s="5">
        <v>0.4</v>
      </c>
      <c r="AM220" s="5">
        <v>1</v>
      </c>
      <c r="AN220" s="3">
        <v>550</v>
      </c>
      <c r="AO220">
        <v>1</v>
      </c>
      <c r="AP220">
        <v>1</v>
      </c>
      <c r="AQ220" s="5">
        <v>1</v>
      </c>
      <c r="AR220" s="5">
        <v>0.8</v>
      </c>
      <c r="AS220" s="5">
        <v>1.25</v>
      </c>
      <c r="AT220" s="5">
        <v>1</v>
      </c>
    </row>
    <row r="221" spans="1:46" hidden="1">
      <c r="A221" t="str">
        <f>_xlfn.XLOOKUP(Table13[[#This Row],[SAP]],'Location List'!B:B,'Location List'!G:G)</f>
        <v>CENTRAL TEXAS</v>
      </c>
      <c r="B221" t="str">
        <f>LEFT(Table13[[#This Row],[Sap: Loaction]],4)</f>
        <v>1FSS</v>
      </c>
      <c r="C221" s="4" t="str">
        <f>_xlfn.XLOOKUP(Table13[[#This Row],[Employee]],'Location List'!M:M,'Location List'!N:N,"",0)</f>
        <v>RSM</v>
      </c>
      <c r="D221" t="s">
        <v>973</v>
      </c>
      <c r="E221" t="s">
        <v>834</v>
      </c>
      <c r="F221" t="s">
        <v>540</v>
      </c>
      <c r="G221" s="3">
        <v>3</v>
      </c>
      <c r="H221" s="3">
        <v>831</v>
      </c>
      <c r="I221">
        <v>616.04999999999995</v>
      </c>
      <c r="J221" t="s">
        <v>454</v>
      </c>
      <c r="K221" s="6">
        <v>17.53</v>
      </c>
      <c r="L221" s="6">
        <v>30</v>
      </c>
      <c r="M221" s="5">
        <v>0.58433333333333337</v>
      </c>
      <c r="N221" s="3">
        <v>795</v>
      </c>
      <c r="O221" s="10">
        <v>5</v>
      </c>
      <c r="P221" s="10">
        <v>34</v>
      </c>
      <c r="Q221" s="5">
        <v>0.14705882352941177</v>
      </c>
      <c r="R221" s="5">
        <v>0.19</v>
      </c>
      <c r="S221" s="5">
        <v>0.77398900000000004</v>
      </c>
      <c r="T221" s="3">
        <v>699</v>
      </c>
      <c r="U221" s="10">
        <v>2</v>
      </c>
      <c r="V221" s="10">
        <v>34</v>
      </c>
      <c r="W221" s="5">
        <v>5.8823529411764705E-2</v>
      </c>
      <c r="X221" s="5">
        <v>0.05</v>
      </c>
      <c r="Y221" s="5">
        <v>1.1764600000000001</v>
      </c>
      <c r="Z221" s="3">
        <v>138</v>
      </c>
      <c r="AA221" s="11">
        <v>0.5</v>
      </c>
      <c r="AB221" s="3">
        <v>1172</v>
      </c>
      <c r="AC221">
        <v>4.5</v>
      </c>
      <c r="AD221" s="3">
        <v>65</v>
      </c>
      <c r="AE221">
        <v>0</v>
      </c>
      <c r="AF221">
        <v>6</v>
      </c>
      <c r="AG221" s="5">
        <v>0</v>
      </c>
      <c r="AH221" s="5">
        <v>0.1</v>
      </c>
      <c r="AI221" s="5">
        <v>0</v>
      </c>
      <c r="AJ221" s="3">
        <v>696</v>
      </c>
      <c r="AK221" s="5">
        <v>0</v>
      </c>
      <c r="AL221" s="5">
        <v>0.4</v>
      </c>
      <c r="AM221" s="5">
        <v>0</v>
      </c>
      <c r="AN221" s="3">
        <v>1150</v>
      </c>
      <c r="AO221">
        <v>3</v>
      </c>
      <c r="AP221">
        <v>3</v>
      </c>
      <c r="AQ221" s="5">
        <v>1</v>
      </c>
      <c r="AR221" s="5">
        <v>0.8</v>
      </c>
      <c r="AS221" s="5">
        <v>1.25</v>
      </c>
      <c r="AT221" s="5">
        <v>1</v>
      </c>
    </row>
    <row r="222" spans="1:46" hidden="1">
      <c r="A222" t="str">
        <f>_xlfn.XLOOKUP(Table13[[#This Row],[SAP]],'Location List'!B:B,'Location List'!G:G)</f>
        <v>SA SOUTH</v>
      </c>
      <c r="B222" t="str">
        <f>LEFT(Table13[[#This Row],[Sap: Loaction]],4)</f>
        <v>5441</v>
      </c>
      <c r="C222" s="4" t="str">
        <f>_xlfn.XLOOKUP(Table13[[#This Row],[Employee]],'Location List'!M:M,'Location List'!N:N,"",0)</f>
        <v/>
      </c>
      <c r="D222" t="s">
        <v>973</v>
      </c>
      <c r="E222" t="s">
        <v>853</v>
      </c>
      <c r="F222" t="s">
        <v>535</v>
      </c>
      <c r="G222" s="3">
        <v>3</v>
      </c>
      <c r="H222" s="3">
        <v>832</v>
      </c>
      <c r="I222">
        <v>616.25</v>
      </c>
      <c r="J222" t="s">
        <v>454</v>
      </c>
      <c r="K222" s="6">
        <v>10.62</v>
      </c>
      <c r="L222" s="6">
        <v>39.999999999999993</v>
      </c>
      <c r="M222" s="5">
        <v>0.26550000000000001</v>
      </c>
      <c r="N222" s="3">
        <v>1025</v>
      </c>
      <c r="O222" s="10">
        <v>4</v>
      </c>
      <c r="P222" s="10">
        <v>68</v>
      </c>
      <c r="Q222" s="5">
        <v>5.8823529411764705E-2</v>
      </c>
      <c r="R222" s="5">
        <v>0.19</v>
      </c>
      <c r="S222" s="5">
        <v>0.30959399999999998</v>
      </c>
      <c r="T222" s="3">
        <v>1186</v>
      </c>
      <c r="U222" s="10">
        <v>2</v>
      </c>
      <c r="V222" s="10">
        <v>68</v>
      </c>
      <c r="W222" s="5">
        <v>2.9411764705882353E-2</v>
      </c>
      <c r="X222" s="5">
        <v>0.05</v>
      </c>
      <c r="Y222" s="5">
        <v>0.58821999999999997</v>
      </c>
      <c r="Z222" s="3">
        <v>465</v>
      </c>
      <c r="AA222" s="11">
        <v>1</v>
      </c>
      <c r="AB222" s="3">
        <v>741</v>
      </c>
      <c r="AC222">
        <v>10</v>
      </c>
      <c r="AD222" s="3">
        <v>1</v>
      </c>
      <c r="AE222">
        <v>0</v>
      </c>
      <c r="AF222">
        <v>6</v>
      </c>
      <c r="AG222" s="5">
        <v>0</v>
      </c>
      <c r="AH222" s="5">
        <v>0.1</v>
      </c>
      <c r="AI222" s="5">
        <v>0</v>
      </c>
      <c r="AJ222" s="3">
        <v>696</v>
      </c>
      <c r="AK222" s="5">
        <v>1</v>
      </c>
      <c r="AL222" s="5">
        <v>0.4</v>
      </c>
      <c r="AM222" s="5">
        <v>2.5</v>
      </c>
      <c r="AN222" s="3">
        <v>1</v>
      </c>
      <c r="AO222">
        <v>1</v>
      </c>
      <c r="AP222">
        <v>1</v>
      </c>
      <c r="AQ222" s="5">
        <v>1</v>
      </c>
      <c r="AR222" s="5">
        <v>0.8</v>
      </c>
      <c r="AS222" s="5">
        <v>1.25</v>
      </c>
      <c r="AT222" s="5">
        <v>1</v>
      </c>
    </row>
    <row r="223" spans="1:46" hidden="1">
      <c r="A223" t="str">
        <f>_xlfn.XLOOKUP(Table13[[#This Row],[SAP]],'Location List'!B:B,'Location List'!G:G)</f>
        <v>SOUTH TX/RGV</v>
      </c>
      <c r="B223" t="str">
        <f>LEFT(Table13[[#This Row],[Sap: Loaction]],4)</f>
        <v>2584</v>
      </c>
      <c r="C223" s="4" t="str">
        <f>_xlfn.XLOOKUP(Table13[[#This Row],[Employee]],'Location List'!M:M,'Location List'!N:N,"",0)</f>
        <v/>
      </c>
      <c r="D223" t="s">
        <v>973</v>
      </c>
      <c r="E223" t="s">
        <v>804</v>
      </c>
      <c r="F223" t="s">
        <v>498</v>
      </c>
      <c r="G223" s="3">
        <v>3</v>
      </c>
      <c r="H223" s="3">
        <v>839</v>
      </c>
      <c r="I223">
        <v>617.95000000000005</v>
      </c>
      <c r="J223" t="s">
        <v>454</v>
      </c>
      <c r="K223" s="6">
        <v>50.46</v>
      </c>
      <c r="L223" s="6">
        <v>40</v>
      </c>
      <c r="M223" s="5">
        <v>1.2615000000000001</v>
      </c>
      <c r="N223" s="3">
        <v>339</v>
      </c>
      <c r="O223" s="10">
        <v>8</v>
      </c>
      <c r="P223" s="10">
        <v>39</v>
      </c>
      <c r="Q223" s="5">
        <v>0.20512820512820512</v>
      </c>
      <c r="R223" s="5">
        <v>0.19</v>
      </c>
      <c r="S223" s="5">
        <v>1.0796209999999999</v>
      </c>
      <c r="T223" s="3">
        <v>440</v>
      </c>
      <c r="U223" s="10">
        <v>0</v>
      </c>
      <c r="V223" s="10">
        <v>39</v>
      </c>
      <c r="W223" s="5">
        <v>0</v>
      </c>
      <c r="X223" s="5">
        <v>0.05</v>
      </c>
      <c r="Y223" s="5">
        <v>0</v>
      </c>
      <c r="Z223" s="3">
        <v>994</v>
      </c>
      <c r="AA223" s="11">
        <v>0.25</v>
      </c>
      <c r="AB223" s="3">
        <v>1320</v>
      </c>
      <c r="AC223">
        <v>10</v>
      </c>
      <c r="AD223" s="3">
        <v>1</v>
      </c>
      <c r="AE223">
        <v>0</v>
      </c>
      <c r="AF223">
        <v>8</v>
      </c>
      <c r="AG223" s="5">
        <v>0</v>
      </c>
      <c r="AH223" s="5">
        <v>0.1</v>
      </c>
      <c r="AI223" s="5">
        <v>0</v>
      </c>
      <c r="AJ223" s="3">
        <v>696</v>
      </c>
      <c r="AK223" s="5">
        <v>0.4166665</v>
      </c>
      <c r="AL223" s="5">
        <v>0.4</v>
      </c>
      <c r="AM223" s="5">
        <v>1.0416650000000001</v>
      </c>
      <c r="AN223" s="3">
        <v>530</v>
      </c>
      <c r="AO223">
        <v>0</v>
      </c>
      <c r="AP223">
        <v>6</v>
      </c>
      <c r="AQ223" s="5">
        <v>0</v>
      </c>
      <c r="AR223" s="5">
        <v>0.8</v>
      </c>
      <c r="AS223" s="5">
        <v>0</v>
      </c>
      <c r="AT223" s="5">
        <v>902</v>
      </c>
    </row>
    <row r="224" spans="1:46">
      <c r="A224" t="str">
        <f>_xlfn.XLOOKUP(Table13[[#This Row],[SAP]],'Location List'!B:B,'Location List'!G:G)</f>
        <v>DFW EAST</v>
      </c>
      <c r="B224" t="str">
        <f>LEFT(Table13[[#This Row],[Sap: Loaction]],4)</f>
        <v>875E</v>
      </c>
      <c r="C224" s="4" t="str">
        <f>_xlfn.XLOOKUP(Table13[[#This Row],[Employee]],'Location List'!M:M,'Location List'!N:N,"",0)</f>
        <v/>
      </c>
      <c r="D224" t="s">
        <v>973</v>
      </c>
      <c r="E224" t="s">
        <v>820</v>
      </c>
      <c r="F224" t="s">
        <v>503</v>
      </c>
      <c r="G224" s="3">
        <v>3</v>
      </c>
      <c r="H224" s="3">
        <v>844</v>
      </c>
      <c r="I224">
        <v>623.4</v>
      </c>
      <c r="J224" t="s">
        <v>454</v>
      </c>
      <c r="K224" s="6">
        <v>18.829999999999998</v>
      </c>
      <c r="L224" s="6">
        <v>34.999999999999993</v>
      </c>
      <c r="M224" s="5">
        <v>0.53800000000000003</v>
      </c>
      <c r="N224" s="3">
        <v>828</v>
      </c>
      <c r="O224" s="10">
        <v>7</v>
      </c>
      <c r="P224" s="10">
        <v>37</v>
      </c>
      <c r="Q224" s="5">
        <v>0.1891891891891892</v>
      </c>
      <c r="R224" s="5">
        <v>0.19</v>
      </c>
      <c r="S224" s="5">
        <v>0.99573100000000003</v>
      </c>
      <c r="T224" s="3">
        <v>502</v>
      </c>
      <c r="U224" s="10">
        <v>1</v>
      </c>
      <c r="V224" s="10">
        <v>37</v>
      </c>
      <c r="W224" s="5">
        <v>2.7027027027027029E-2</v>
      </c>
      <c r="X224" s="5">
        <v>0.05</v>
      </c>
      <c r="Y224" s="5">
        <v>0.54054000000000002</v>
      </c>
      <c r="Z224" s="3">
        <v>500</v>
      </c>
      <c r="AA224" s="11">
        <v>1</v>
      </c>
      <c r="AB224" s="3">
        <v>741</v>
      </c>
      <c r="AC224">
        <v>6.6666660000000002</v>
      </c>
      <c r="AD224" s="3">
        <v>48</v>
      </c>
      <c r="AE224">
        <v>1</v>
      </c>
      <c r="AF224">
        <v>10</v>
      </c>
      <c r="AG224" s="5">
        <v>0.1</v>
      </c>
      <c r="AH224" s="5">
        <v>0.1</v>
      </c>
      <c r="AI224" s="5">
        <v>1</v>
      </c>
      <c r="AJ224" s="3">
        <v>486</v>
      </c>
      <c r="AK224" s="5">
        <v>0.111111</v>
      </c>
      <c r="AL224" s="5">
        <v>0.4</v>
      </c>
      <c r="AM224" s="5">
        <v>0.277777</v>
      </c>
      <c r="AN224" s="3">
        <v>1068</v>
      </c>
      <c r="AO224">
        <v>0</v>
      </c>
      <c r="AP224">
        <v>5</v>
      </c>
      <c r="AQ224" s="5">
        <v>0</v>
      </c>
      <c r="AR224" s="5">
        <v>0.8</v>
      </c>
      <c r="AS224" s="5">
        <v>0</v>
      </c>
      <c r="AT224" s="5">
        <v>902</v>
      </c>
    </row>
    <row r="225" spans="1:46">
      <c r="A225" t="str">
        <f>_xlfn.XLOOKUP(Table13[[#This Row],[SAP]],'Location List'!B:B,'Location List'!G:G)</f>
        <v>MO/IA/NE</v>
      </c>
      <c r="B225" t="str">
        <f>LEFT(Table13[[#This Row],[Sap: Loaction]],4)</f>
        <v>3ISY</v>
      </c>
      <c r="C225" s="4" t="str">
        <f>_xlfn.XLOOKUP(Table13[[#This Row],[Employee]],'Location List'!M:M,'Location List'!N:N,"",0)</f>
        <v/>
      </c>
      <c r="D225" t="s">
        <v>973</v>
      </c>
      <c r="E225" t="s">
        <v>858</v>
      </c>
      <c r="F225" t="s">
        <v>527</v>
      </c>
      <c r="G225" s="3">
        <v>3</v>
      </c>
      <c r="H225" s="3">
        <v>845</v>
      </c>
      <c r="I225">
        <v>623.45000000000005</v>
      </c>
      <c r="J225" t="s">
        <v>454</v>
      </c>
      <c r="K225" s="6">
        <v>21.65</v>
      </c>
      <c r="L225" s="6">
        <v>40</v>
      </c>
      <c r="M225" s="5">
        <v>0.54125000000000001</v>
      </c>
      <c r="N225" s="3">
        <v>825</v>
      </c>
      <c r="O225" s="10">
        <v>3</v>
      </c>
      <c r="P225" s="10">
        <v>46</v>
      </c>
      <c r="Q225" s="5">
        <v>6.5217391304347824E-2</v>
      </c>
      <c r="R225" s="5">
        <v>0.19</v>
      </c>
      <c r="S225" s="5">
        <v>0.34324700000000002</v>
      </c>
      <c r="T225" s="3">
        <v>1165</v>
      </c>
      <c r="U225" s="10">
        <v>3</v>
      </c>
      <c r="V225" s="10">
        <v>46</v>
      </c>
      <c r="W225" s="5">
        <v>6.5217391304347824E-2</v>
      </c>
      <c r="X225" s="5">
        <v>0.05</v>
      </c>
      <c r="Y225" s="5">
        <v>1.3043400000000001</v>
      </c>
      <c r="Z225" s="3">
        <v>108</v>
      </c>
      <c r="AA225" s="11">
        <v>1.5454540000000001</v>
      </c>
      <c r="AB225" s="3">
        <v>422</v>
      </c>
      <c r="AC225">
        <v>9</v>
      </c>
      <c r="AD225" s="3">
        <v>22</v>
      </c>
      <c r="AE225">
        <v>0</v>
      </c>
      <c r="AF225">
        <v>10</v>
      </c>
      <c r="AG225" s="5">
        <v>0</v>
      </c>
      <c r="AH225" s="5">
        <v>0.1</v>
      </c>
      <c r="AI225" s="5">
        <v>0</v>
      </c>
      <c r="AJ225" s="3">
        <v>696</v>
      </c>
      <c r="AK225" s="5">
        <v>0.66666650000000005</v>
      </c>
      <c r="AL225" s="5">
        <v>0.4</v>
      </c>
      <c r="AM225" s="5">
        <v>1.6666650000000001</v>
      </c>
      <c r="AN225" s="3">
        <v>169</v>
      </c>
      <c r="AO225">
        <v>0</v>
      </c>
      <c r="AP225">
        <v>0</v>
      </c>
      <c r="AQ225" s="5" t="s">
        <v>653</v>
      </c>
      <c r="AR225" s="5">
        <v>0.8</v>
      </c>
      <c r="AS225" s="5">
        <v>0</v>
      </c>
      <c r="AT225" s="5">
        <v>902</v>
      </c>
    </row>
    <row r="226" spans="1:46">
      <c r="A226" t="str">
        <f>_xlfn.XLOOKUP(Table13[[#This Row],[SAP]],'Location List'!B:B,'Location List'!G:G)</f>
        <v>CENTRAL TEXAS</v>
      </c>
      <c r="B226" t="str">
        <f>LEFT(Table13[[#This Row],[Sap: Loaction]],4)</f>
        <v>1FSH</v>
      </c>
      <c r="C226" s="4" t="str">
        <f>_xlfn.XLOOKUP(Table13[[#This Row],[Employee]],'Location List'!M:M,'Location List'!N:N,"",0)</f>
        <v/>
      </c>
      <c r="D226" t="s">
        <v>973</v>
      </c>
      <c r="E226" t="s">
        <v>639</v>
      </c>
      <c r="F226" t="s">
        <v>508</v>
      </c>
      <c r="G226" s="3">
        <v>3</v>
      </c>
      <c r="H226" s="3">
        <v>846</v>
      </c>
      <c r="I226">
        <v>623.70000000000005</v>
      </c>
      <c r="J226" t="s">
        <v>454</v>
      </c>
      <c r="K226" s="6">
        <v>29.45</v>
      </c>
      <c r="L226" s="6">
        <v>40</v>
      </c>
      <c r="M226" s="5">
        <v>0.73624999999999996</v>
      </c>
      <c r="N226" s="3">
        <v>686</v>
      </c>
      <c r="O226" s="10">
        <v>11</v>
      </c>
      <c r="P226" s="10">
        <v>76</v>
      </c>
      <c r="Q226" s="5">
        <v>0.14473684210526316</v>
      </c>
      <c r="R226" s="5">
        <v>0.19</v>
      </c>
      <c r="S226" s="5">
        <v>0.761768</v>
      </c>
      <c r="T226" s="3">
        <v>711</v>
      </c>
      <c r="U226" s="10">
        <v>1</v>
      </c>
      <c r="V226" s="10">
        <v>76</v>
      </c>
      <c r="W226" s="5">
        <v>1.3157894736842105E-2</v>
      </c>
      <c r="X226" s="5">
        <v>0.05</v>
      </c>
      <c r="Y226" s="5">
        <v>0.26313999999999999</v>
      </c>
      <c r="Z226" s="3">
        <v>853</v>
      </c>
      <c r="AA226" s="11">
        <v>9.0909000000000004E-2</v>
      </c>
      <c r="AB226" s="3">
        <v>1351</v>
      </c>
      <c r="AC226">
        <v>9.6</v>
      </c>
      <c r="AD226" s="3">
        <v>13</v>
      </c>
      <c r="AE226">
        <v>4</v>
      </c>
      <c r="AF226">
        <v>7</v>
      </c>
      <c r="AG226" s="5">
        <v>0.5714285714285714</v>
      </c>
      <c r="AH226" s="5">
        <v>0.1</v>
      </c>
      <c r="AI226" s="5">
        <v>5.7142799999999996</v>
      </c>
      <c r="AJ226" s="3">
        <v>32</v>
      </c>
      <c r="AK226" s="5">
        <v>0.27777766666666664</v>
      </c>
      <c r="AL226" s="5">
        <v>0.4</v>
      </c>
      <c r="AM226" s="5">
        <v>0.694442</v>
      </c>
      <c r="AN226" s="3">
        <v>787</v>
      </c>
      <c r="AO226">
        <v>5</v>
      </c>
      <c r="AP226">
        <v>9</v>
      </c>
      <c r="AQ226" s="5">
        <v>0.55555555555555558</v>
      </c>
      <c r="AR226" s="5">
        <v>0.8</v>
      </c>
      <c r="AS226" s="5">
        <v>0.69444300000000003</v>
      </c>
      <c r="AT226" s="5">
        <v>734</v>
      </c>
    </row>
    <row r="227" spans="1:46" hidden="1">
      <c r="A227" t="str">
        <f>_xlfn.XLOOKUP(Table13[[#This Row],[SAP]],'Location List'!B:B,'Location List'!G:G)</f>
        <v>MO/IA/NE</v>
      </c>
      <c r="B227" t="str">
        <f>LEFT(Table13[[#This Row],[Sap: Loaction]],4)</f>
        <v>4ASA</v>
      </c>
      <c r="C227" s="4" t="str">
        <f>_xlfn.XLOOKUP(Table13[[#This Row],[Employee]],'Location List'!M:M,'Location List'!N:N,"",0)</f>
        <v/>
      </c>
      <c r="D227" t="s">
        <v>973</v>
      </c>
      <c r="E227" t="s">
        <v>919</v>
      </c>
      <c r="F227" t="s">
        <v>550</v>
      </c>
      <c r="G227" s="3">
        <v>3</v>
      </c>
      <c r="H227" s="3">
        <v>854</v>
      </c>
      <c r="I227">
        <v>626.9</v>
      </c>
      <c r="J227" t="s">
        <v>454</v>
      </c>
      <c r="K227" s="6">
        <v>53.45</v>
      </c>
      <c r="L227" s="6">
        <v>40.000000000000007</v>
      </c>
      <c r="M227" s="5">
        <v>1.3362499999999999</v>
      </c>
      <c r="N227" s="3">
        <v>304</v>
      </c>
      <c r="O227" s="10">
        <v>15</v>
      </c>
      <c r="P227" s="10">
        <v>156</v>
      </c>
      <c r="Q227" s="5">
        <v>9.6153846153846159E-2</v>
      </c>
      <c r="R227" s="5">
        <v>0.19</v>
      </c>
      <c r="S227" s="5">
        <v>0.50606799999999996</v>
      </c>
      <c r="T227" s="3">
        <v>1009</v>
      </c>
      <c r="U227" s="10">
        <v>7</v>
      </c>
      <c r="V227" s="10">
        <v>156</v>
      </c>
      <c r="W227" s="5">
        <v>4.4871794871794872E-2</v>
      </c>
      <c r="X227" s="5">
        <v>0.05</v>
      </c>
      <c r="Y227" s="5">
        <v>0.89742</v>
      </c>
      <c r="Z227" s="3">
        <v>275</v>
      </c>
      <c r="AA227" s="11">
        <v>1</v>
      </c>
      <c r="AB227" s="3">
        <v>741</v>
      </c>
      <c r="AC227">
        <v>7</v>
      </c>
      <c r="AD227" s="3">
        <v>46</v>
      </c>
      <c r="AE227">
        <v>0</v>
      </c>
      <c r="AF227">
        <v>38</v>
      </c>
      <c r="AG227" s="5">
        <v>0</v>
      </c>
      <c r="AH227" s="5">
        <v>0.1</v>
      </c>
      <c r="AI227" s="5">
        <v>0</v>
      </c>
      <c r="AJ227" s="3">
        <v>696</v>
      </c>
      <c r="AK227" s="5">
        <v>0.27777766666666664</v>
      </c>
      <c r="AL227" s="5">
        <v>0.4</v>
      </c>
      <c r="AM227" s="5">
        <v>0.694442</v>
      </c>
      <c r="AN227" s="3">
        <v>787</v>
      </c>
      <c r="AO227">
        <v>0</v>
      </c>
      <c r="AP227">
        <v>4</v>
      </c>
      <c r="AQ227" s="5">
        <v>0</v>
      </c>
      <c r="AR227" s="5">
        <v>0.8</v>
      </c>
      <c r="AS227" s="5">
        <v>0</v>
      </c>
      <c r="AT227" s="5">
        <v>902</v>
      </c>
    </row>
    <row r="228" spans="1:46" hidden="1">
      <c r="A228" t="str">
        <f>_xlfn.XLOOKUP(Table13[[#This Row],[SAP]],'Location List'!B:B,'Location List'!G:G)</f>
        <v>DFW EAST</v>
      </c>
      <c r="B228" t="str">
        <f>LEFT(Table13[[#This Row],[Sap: Loaction]],4)</f>
        <v>1357</v>
      </c>
      <c r="C228" s="4" t="str">
        <f>_xlfn.XLOOKUP(Table13[[#This Row],[Employee]],'Location List'!M:M,'Location List'!N:N,"",0)</f>
        <v/>
      </c>
      <c r="D228" t="s">
        <v>973</v>
      </c>
      <c r="E228" t="s">
        <v>690</v>
      </c>
      <c r="F228" t="s">
        <v>549</v>
      </c>
      <c r="G228" s="3">
        <v>3</v>
      </c>
      <c r="H228" s="3">
        <v>862</v>
      </c>
      <c r="I228">
        <v>630.9</v>
      </c>
      <c r="J228" t="s">
        <v>454</v>
      </c>
      <c r="K228" s="6">
        <v>28.11</v>
      </c>
      <c r="L228" s="6">
        <v>40</v>
      </c>
      <c r="M228" s="5">
        <v>0.70274999999999999</v>
      </c>
      <c r="N228" s="3">
        <v>710</v>
      </c>
      <c r="O228" s="10">
        <v>27</v>
      </c>
      <c r="P228" s="10">
        <v>135</v>
      </c>
      <c r="Q228" s="5">
        <v>0.2</v>
      </c>
      <c r="R228" s="5">
        <v>0.19</v>
      </c>
      <c r="S228" s="5">
        <v>1.0526310000000001</v>
      </c>
      <c r="T228" s="3">
        <v>464</v>
      </c>
      <c r="U228" s="10">
        <v>3</v>
      </c>
      <c r="V228" s="10">
        <v>135</v>
      </c>
      <c r="W228" s="5">
        <v>2.2222222222222223E-2</v>
      </c>
      <c r="X228" s="5">
        <v>0.05</v>
      </c>
      <c r="Y228" s="5">
        <v>0.44444</v>
      </c>
      <c r="Z228" s="3">
        <v>597</v>
      </c>
      <c r="AA228" s="11">
        <v>0.72727200000000003</v>
      </c>
      <c r="AB228" s="3">
        <v>1024</v>
      </c>
      <c r="AC228">
        <v>10</v>
      </c>
      <c r="AD228" s="3">
        <v>1</v>
      </c>
      <c r="AE228">
        <v>0</v>
      </c>
      <c r="AF228">
        <v>31</v>
      </c>
      <c r="AG228" s="5">
        <v>0</v>
      </c>
      <c r="AH228" s="5">
        <v>0.1</v>
      </c>
      <c r="AI228" s="5">
        <v>0</v>
      </c>
      <c r="AJ228" s="3">
        <v>696</v>
      </c>
      <c r="AK228" s="5">
        <v>0.121693</v>
      </c>
      <c r="AL228" s="5">
        <v>0.4</v>
      </c>
      <c r="AM228" s="5">
        <v>0.304232</v>
      </c>
      <c r="AN228" s="3">
        <v>1067</v>
      </c>
      <c r="AO228">
        <v>6</v>
      </c>
      <c r="AP228">
        <v>7</v>
      </c>
      <c r="AQ228" s="5">
        <v>0.8571428571428571</v>
      </c>
      <c r="AR228" s="5">
        <v>0.8</v>
      </c>
      <c r="AS228" s="5">
        <v>1.0714269999999999</v>
      </c>
      <c r="AT228" s="5">
        <v>583</v>
      </c>
    </row>
    <row r="229" spans="1:46" hidden="1">
      <c r="A229" t="str">
        <f>_xlfn.XLOOKUP(Table13[[#This Row],[SAP]],'Location List'!B:B,'Location List'!G:G)</f>
        <v>MO/IA/NE</v>
      </c>
      <c r="B229" t="str">
        <f>LEFT(Table13[[#This Row],[Sap: Loaction]],4)</f>
        <v>4BSH</v>
      </c>
      <c r="C229" s="4" t="str">
        <f>_xlfn.XLOOKUP(Table13[[#This Row],[Employee]],'Location List'!M:M,'Location List'!N:N,"",0)</f>
        <v/>
      </c>
      <c r="D229" t="s">
        <v>973</v>
      </c>
      <c r="E229" t="s">
        <v>881</v>
      </c>
      <c r="F229" t="s">
        <v>578</v>
      </c>
      <c r="G229" s="3">
        <v>4</v>
      </c>
      <c r="H229" s="3">
        <v>871</v>
      </c>
      <c r="I229">
        <v>634.29999999999995</v>
      </c>
      <c r="J229" t="s">
        <v>454</v>
      </c>
      <c r="K229" s="6">
        <v>14.42</v>
      </c>
      <c r="L229" s="6">
        <v>35</v>
      </c>
      <c r="M229" s="5">
        <v>0.41199999999999998</v>
      </c>
      <c r="N229" s="3">
        <v>922</v>
      </c>
      <c r="O229" s="10">
        <v>2</v>
      </c>
      <c r="P229" s="10">
        <v>32</v>
      </c>
      <c r="Q229" s="5">
        <v>6.25E-2</v>
      </c>
      <c r="R229" s="5">
        <v>0.19</v>
      </c>
      <c r="S229" s="5">
        <v>0.32894699999999999</v>
      </c>
      <c r="T229" s="3">
        <v>1173</v>
      </c>
      <c r="U229" s="10">
        <v>2</v>
      </c>
      <c r="V229" s="10">
        <v>32</v>
      </c>
      <c r="W229" s="5">
        <v>6.25E-2</v>
      </c>
      <c r="X229" s="5">
        <v>0.05</v>
      </c>
      <c r="Y229" s="5">
        <v>1.25</v>
      </c>
      <c r="Z229" s="3">
        <v>122</v>
      </c>
      <c r="AA229" s="11">
        <v>1</v>
      </c>
      <c r="AB229" s="3">
        <v>741</v>
      </c>
      <c r="AC229">
        <v>0</v>
      </c>
      <c r="AD229" s="3">
        <v>75</v>
      </c>
      <c r="AE229">
        <v>0</v>
      </c>
      <c r="AF229">
        <v>3</v>
      </c>
      <c r="AG229" s="5">
        <v>0</v>
      </c>
      <c r="AH229" s="5">
        <v>0.1</v>
      </c>
      <c r="AI229" s="5">
        <v>0</v>
      </c>
      <c r="AJ229" s="3">
        <v>696</v>
      </c>
      <c r="AK229" s="5">
        <v>0.33333333333333331</v>
      </c>
      <c r="AL229" s="5">
        <v>0.4</v>
      </c>
      <c r="AM229" s="5">
        <v>0.83333199999999996</v>
      </c>
      <c r="AN229" s="3">
        <v>631</v>
      </c>
      <c r="AO229">
        <v>1</v>
      </c>
      <c r="AP229">
        <v>1</v>
      </c>
      <c r="AQ229">
        <v>1</v>
      </c>
      <c r="AR229" s="5">
        <v>0.8</v>
      </c>
      <c r="AS229" s="5">
        <v>1.25</v>
      </c>
      <c r="AT229" s="5">
        <v>1</v>
      </c>
    </row>
    <row r="230" spans="1:46" hidden="1">
      <c r="A230" t="str">
        <f>_xlfn.XLOOKUP(Table13[[#This Row],[SAP]],'Location List'!B:B,'Location List'!G:G)</f>
        <v>KS/OK</v>
      </c>
      <c r="B230" t="str">
        <f>LEFT(Table13[[#This Row],[Sap: Loaction]],4)</f>
        <v>5280</v>
      </c>
      <c r="C230" s="4" t="str">
        <f>_xlfn.XLOOKUP(Table13[[#This Row],[Employee]],'Location List'!M:M,'Location List'!N:N,"",0)</f>
        <v/>
      </c>
      <c r="D230" t="s">
        <v>973</v>
      </c>
      <c r="E230" t="s">
        <v>600</v>
      </c>
      <c r="F230" t="s">
        <v>494</v>
      </c>
      <c r="G230" s="3">
        <v>4</v>
      </c>
      <c r="H230" s="3">
        <v>879</v>
      </c>
      <c r="I230">
        <v>638.20000000000005</v>
      </c>
      <c r="J230" t="s">
        <v>454</v>
      </c>
      <c r="K230" s="6">
        <v>32.65</v>
      </c>
      <c r="L230" s="6">
        <v>40</v>
      </c>
      <c r="M230" s="5">
        <v>0.81625000000000003</v>
      </c>
      <c r="N230" s="3">
        <v>630</v>
      </c>
      <c r="O230" s="10">
        <v>11</v>
      </c>
      <c r="P230" s="10">
        <v>91</v>
      </c>
      <c r="Q230" s="5">
        <v>0.12087912087912088</v>
      </c>
      <c r="R230" s="5">
        <v>0.19</v>
      </c>
      <c r="S230" s="5">
        <v>0.63620500000000002</v>
      </c>
      <c r="T230" s="3">
        <v>850</v>
      </c>
      <c r="U230" s="10">
        <v>0</v>
      </c>
      <c r="V230" s="10">
        <v>91</v>
      </c>
      <c r="W230" s="5">
        <v>0</v>
      </c>
      <c r="X230" s="5">
        <v>0.05</v>
      </c>
      <c r="Y230" s="5">
        <v>0</v>
      </c>
      <c r="Z230" s="3">
        <v>994</v>
      </c>
      <c r="AA230" s="11">
        <v>0.75</v>
      </c>
      <c r="AB230" s="3">
        <v>992</v>
      </c>
      <c r="AC230">
        <v>0</v>
      </c>
      <c r="AD230" s="3">
        <v>75</v>
      </c>
      <c r="AE230">
        <v>0</v>
      </c>
      <c r="AF230">
        <v>15</v>
      </c>
      <c r="AG230" s="5">
        <v>0</v>
      </c>
      <c r="AH230" s="5">
        <v>0.1</v>
      </c>
      <c r="AI230" s="5">
        <v>0</v>
      </c>
      <c r="AJ230" s="3">
        <v>696</v>
      </c>
      <c r="AK230" s="5">
        <v>0.33333299999999999</v>
      </c>
      <c r="AL230" s="5">
        <v>0.4</v>
      </c>
      <c r="AM230" s="5">
        <v>0.83333199999999996</v>
      </c>
      <c r="AN230" s="3">
        <v>631</v>
      </c>
      <c r="AO230">
        <v>6</v>
      </c>
      <c r="AP230">
        <v>6</v>
      </c>
      <c r="AQ230" s="5">
        <v>1</v>
      </c>
      <c r="AR230" s="5">
        <v>0.8</v>
      </c>
      <c r="AS230" s="5">
        <v>1.25</v>
      </c>
      <c r="AT230" s="5">
        <v>1</v>
      </c>
    </row>
    <row r="231" spans="1:46" hidden="1">
      <c r="A231" t="str">
        <f>_xlfn.XLOOKUP(Table13[[#This Row],[SAP]],'Location List'!B:B,'Location List'!G:G)</f>
        <v>SOUTH TX/RGV</v>
      </c>
      <c r="B231" t="str">
        <f>LEFT(Table13[[#This Row],[Sap: Loaction]],4)</f>
        <v>598D</v>
      </c>
      <c r="C231" s="4" t="str">
        <f>_xlfn.XLOOKUP(Table13[[#This Row],[Employee]],'Location List'!M:M,'Location List'!N:N,"",0)</f>
        <v/>
      </c>
      <c r="D231" t="s">
        <v>973</v>
      </c>
      <c r="E231" t="s">
        <v>886</v>
      </c>
      <c r="F231" t="s">
        <v>574</v>
      </c>
      <c r="G231" s="3">
        <v>4</v>
      </c>
      <c r="H231" s="3">
        <v>880</v>
      </c>
      <c r="I231">
        <v>638.25</v>
      </c>
      <c r="J231" t="s">
        <v>454</v>
      </c>
      <c r="K231" s="6">
        <v>17.64</v>
      </c>
      <c r="L231" s="6">
        <v>40</v>
      </c>
      <c r="M231" s="5">
        <v>0.441</v>
      </c>
      <c r="N231" s="3">
        <v>903</v>
      </c>
      <c r="O231" s="10">
        <v>7</v>
      </c>
      <c r="P231" s="10">
        <v>88</v>
      </c>
      <c r="Q231" s="5">
        <v>7.9545454545454544E-2</v>
      </c>
      <c r="R231" s="5">
        <v>0.19</v>
      </c>
      <c r="S231" s="5">
        <v>0.418657</v>
      </c>
      <c r="T231" s="3">
        <v>1106</v>
      </c>
      <c r="U231" s="10">
        <v>4</v>
      </c>
      <c r="V231" s="10">
        <v>88</v>
      </c>
      <c r="W231" s="5">
        <v>4.5454545454545456E-2</v>
      </c>
      <c r="X231" s="5">
        <v>0.05</v>
      </c>
      <c r="Y231" s="5">
        <v>0.90908</v>
      </c>
      <c r="Z231" s="3">
        <v>265</v>
      </c>
      <c r="AA231" s="11">
        <v>0.4</v>
      </c>
      <c r="AB231" s="3">
        <v>1247</v>
      </c>
      <c r="AC231">
        <v>10</v>
      </c>
      <c r="AD231" s="3">
        <v>1</v>
      </c>
      <c r="AE231">
        <v>0</v>
      </c>
      <c r="AF231">
        <v>12</v>
      </c>
      <c r="AG231" s="5">
        <v>0</v>
      </c>
      <c r="AH231" s="5">
        <v>0.1</v>
      </c>
      <c r="AI231" s="5">
        <v>0</v>
      </c>
      <c r="AJ231" s="3">
        <v>696</v>
      </c>
      <c r="AK231" s="5">
        <v>0.58333299999999999</v>
      </c>
      <c r="AL231" s="5">
        <v>0.4</v>
      </c>
      <c r="AM231" s="5">
        <v>1.458332</v>
      </c>
      <c r="AN231" s="3">
        <v>258</v>
      </c>
      <c r="AO231">
        <v>1</v>
      </c>
      <c r="AP231">
        <v>1</v>
      </c>
      <c r="AQ231" s="5">
        <v>1</v>
      </c>
      <c r="AR231" s="5">
        <v>0.8</v>
      </c>
      <c r="AS231" s="5">
        <v>1.25</v>
      </c>
      <c r="AT231" s="5">
        <v>1</v>
      </c>
    </row>
    <row r="232" spans="1:46" hidden="1">
      <c r="A232" t="str">
        <f>_xlfn.XLOOKUP(Table13[[#This Row],[SAP]],'Location List'!B:B,'Location List'!G:G)</f>
        <v>DFW EAST</v>
      </c>
      <c r="B232" t="str">
        <f>LEFT(Table13[[#This Row],[Sap: Loaction]],4)</f>
        <v>875E</v>
      </c>
      <c r="C232" s="4" t="str">
        <f>_xlfn.XLOOKUP(Table13[[#This Row],[Employee]],'Location List'!M:M,'Location List'!N:N,"",0)</f>
        <v/>
      </c>
      <c r="D232" t="s">
        <v>973</v>
      </c>
      <c r="E232" t="s">
        <v>782</v>
      </c>
      <c r="F232" t="s">
        <v>503</v>
      </c>
      <c r="G232" s="3">
        <v>4</v>
      </c>
      <c r="H232" s="3">
        <v>883</v>
      </c>
      <c r="I232">
        <v>639.54999999999995</v>
      </c>
      <c r="J232" t="s">
        <v>454</v>
      </c>
      <c r="K232" s="6">
        <v>1.73</v>
      </c>
      <c r="L232" s="6">
        <v>35</v>
      </c>
      <c r="M232" s="5">
        <v>4.9428571428571426E-2</v>
      </c>
      <c r="N232" s="3">
        <v>1165</v>
      </c>
      <c r="O232" s="10">
        <v>11</v>
      </c>
      <c r="P232" s="10">
        <v>33</v>
      </c>
      <c r="Q232" s="5">
        <v>0.33333333333333331</v>
      </c>
      <c r="R232" s="5">
        <v>0.19</v>
      </c>
      <c r="S232" s="5">
        <v>1.7543839999999999</v>
      </c>
      <c r="T232" s="3">
        <v>131</v>
      </c>
      <c r="U232" s="10">
        <v>0</v>
      </c>
      <c r="V232" s="10">
        <v>33</v>
      </c>
      <c r="W232" s="5">
        <v>0</v>
      </c>
      <c r="X232" s="5">
        <v>0.05</v>
      </c>
      <c r="Y232" s="5">
        <v>0</v>
      </c>
      <c r="Z232" s="3">
        <v>994</v>
      </c>
      <c r="AA232" s="11">
        <v>0.42857099999999998</v>
      </c>
      <c r="AB232" s="3">
        <v>1239</v>
      </c>
      <c r="AC232">
        <v>0</v>
      </c>
      <c r="AD232" s="3">
        <v>75</v>
      </c>
      <c r="AE232">
        <v>0</v>
      </c>
      <c r="AF232">
        <v>7</v>
      </c>
      <c r="AG232" s="5">
        <v>0</v>
      </c>
      <c r="AH232" s="5">
        <v>0.1</v>
      </c>
      <c r="AI232" s="5">
        <v>0</v>
      </c>
      <c r="AJ232" s="3">
        <v>696</v>
      </c>
      <c r="AK232" s="5">
        <v>0.14285700000000001</v>
      </c>
      <c r="AL232" s="5">
        <v>0.4</v>
      </c>
      <c r="AM232" s="5">
        <v>0.35714200000000002</v>
      </c>
      <c r="AN232" s="3">
        <v>1033</v>
      </c>
      <c r="AO232">
        <v>4</v>
      </c>
      <c r="AP232">
        <v>4</v>
      </c>
      <c r="AQ232" s="5">
        <v>1</v>
      </c>
      <c r="AR232" s="5">
        <v>0.8</v>
      </c>
      <c r="AS232" s="5">
        <v>1.25</v>
      </c>
      <c r="AT232" s="5">
        <v>1</v>
      </c>
    </row>
    <row r="233" spans="1:46" hidden="1">
      <c r="A233" t="str">
        <f>_xlfn.XLOOKUP(Table13[[#This Row],[SAP]],'Location List'!B:B,'Location List'!G:G)</f>
        <v>DFW NORTH</v>
      </c>
      <c r="B233" t="str">
        <f>LEFT(Table13[[#This Row],[Sap: Loaction]],4)</f>
        <v>1BSE</v>
      </c>
      <c r="C233" s="4" t="str">
        <f>_xlfn.XLOOKUP(Table13[[#This Row],[Employee]],'Location List'!M:M,'Location List'!N:N,"",0)</f>
        <v/>
      </c>
      <c r="D233" t="s">
        <v>973</v>
      </c>
      <c r="E233" t="s">
        <v>1002</v>
      </c>
      <c r="F233" t="s">
        <v>545</v>
      </c>
      <c r="G233" s="3">
        <v>4</v>
      </c>
      <c r="H233" s="3">
        <v>886</v>
      </c>
      <c r="I233">
        <v>641.45000000000005</v>
      </c>
      <c r="J233" t="s">
        <v>454</v>
      </c>
      <c r="K233" s="6">
        <v>27.16</v>
      </c>
      <c r="L233" s="6">
        <v>40</v>
      </c>
      <c r="M233" s="5">
        <v>0.67900000000000005</v>
      </c>
      <c r="N233" s="3">
        <v>729</v>
      </c>
      <c r="O233" s="10">
        <v>4</v>
      </c>
      <c r="P233" s="10">
        <v>53</v>
      </c>
      <c r="Q233" s="5">
        <v>7.5471698113207544E-2</v>
      </c>
      <c r="R233" s="5">
        <v>0.19</v>
      </c>
      <c r="S233" s="5">
        <v>0.39721499999999998</v>
      </c>
      <c r="T233" s="3">
        <v>1122</v>
      </c>
      <c r="U233" s="10">
        <v>0</v>
      </c>
      <c r="V233" s="10">
        <v>53</v>
      </c>
      <c r="W233" s="5">
        <v>0</v>
      </c>
      <c r="X233" s="5">
        <v>0.05</v>
      </c>
      <c r="Y233" s="5">
        <v>0</v>
      </c>
      <c r="Z233" s="3">
        <v>994</v>
      </c>
      <c r="AA233" s="11">
        <v>0.83333299999999999</v>
      </c>
      <c r="AB233" s="3">
        <v>924</v>
      </c>
      <c r="AC233">
        <v>10</v>
      </c>
      <c r="AD233" s="3">
        <v>1</v>
      </c>
      <c r="AE233">
        <v>1</v>
      </c>
      <c r="AF233">
        <v>13</v>
      </c>
      <c r="AG233" s="5">
        <v>7.6923076923076927E-2</v>
      </c>
      <c r="AH233" s="5">
        <v>0.1</v>
      </c>
      <c r="AI233" s="5">
        <v>0.76922999999999997</v>
      </c>
      <c r="AJ233" s="3">
        <v>554</v>
      </c>
      <c r="AK233" s="5">
        <v>0.5</v>
      </c>
      <c r="AL233" s="5">
        <v>0.4</v>
      </c>
      <c r="AM233" s="5">
        <v>1.25</v>
      </c>
      <c r="AN233" s="3">
        <v>326</v>
      </c>
      <c r="AO233">
        <v>2</v>
      </c>
      <c r="AP233">
        <v>2</v>
      </c>
      <c r="AQ233" s="5">
        <v>1</v>
      </c>
      <c r="AR233" s="5">
        <v>0.8</v>
      </c>
      <c r="AS233" s="5">
        <v>1.25</v>
      </c>
      <c r="AT233" s="5">
        <v>1</v>
      </c>
    </row>
    <row r="234" spans="1:46">
      <c r="A234" t="str">
        <f>_xlfn.XLOOKUP(Table13[[#This Row],[SAP]],'Location List'!B:B,'Location List'!G:G)</f>
        <v>DFW EAST</v>
      </c>
      <c r="B234" t="str">
        <f>LEFT(Table13[[#This Row],[Sap: Loaction]],4)</f>
        <v>5784</v>
      </c>
      <c r="C234" s="4" t="str">
        <f>_xlfn.XLOOKUP(Table13[[#This Row],[Employee]],'Location List'!M:M,'Location List'!N:N,"",0)</f>
        <v>RSM</v>
      </c>
      <c r="D234" t="s">
        <v>973</v>
      </c>
      <c r="E234" t="s">
        <v>770</v>
      </c>
      <c r="F234" t="s">
        <v>541</v>
      </c>
      <c r="G234" s="3">
        <v>4</v>
      </c>
      <c r="H234" s="3">
        <v>888</v>
      </c>
      <c r="I234">
        <v>643.1</v>
      </c>
      <c r="J234" t="s">
        <v>454</v>
      </c>
      <c r="K234" s="6">
        <v>17.350000000000001</v>
      </c>
      <c r="L234" s="6">
        <v>40</v>
      </c>
      <c r="M234" s="5">
        <v>0.43375000000000002</v>
      </c>
      <c r="N234" s="3">
        <v>912</v>
      </c>
      <c r="O234" s="10">
        <v>7</v>
      </c>
      <c r="P234" s="10">
        <v>99</v>
      </c>
      <c r="Q234" s="5">
        <v>7.0707070707070704E-2</v>
      </c>
      <c r="R234" s="5">
        <v>0.19</v>
      </c>
      <c r="S234" s="5">
        <v>0.37214199999999997</v>
      </c>
      <c r="T234" s="3">
        <v>1143</v>
      </c>
      <c r="U234" s="10">
        <v>5</v>
      </c>
      <c r="V234" s="10">
        <v>99</v>
      </c>
      <c r="W234" s="5">
        <v>5.0505050505050504E-2</v>
      </c>
      <c r="X234" s="5">
        <v>0.05</v>
      </c>
      <c r="Y234" s="5">
        <v>1.0101</v>
      </c>
      <c r="Z234" s="3">
        <v>216</v>
      </c>
      <c r="AA234" s="11">
        <v>0.88888800000000001</v>
      </c>
      <c r="AB234" s="3">
        <v>884</v>
      </c>
      <c r="AC234">
        <v>10</v>
      </c>
      <c r="AD234" s="3">
        <v>1</v>
      </c>
      <c r="AE234">
        <v>0</v>
      </c>
      <c r="AF234">
        <v>26</v>
      </c>
      <c r="AG234" s="5">
        <v>0</v>
      </c>
      <c r="AH234" s="5">
        <v>0.1</v>
      </c>
      <c r="AI234" s="5">
        <v>0</v>
      </c>
      <c r="AJ234" s="3">
        <v>696</v>
      </c>
      <c r="AK234" s="5">
        <v>0.33333333333333331</v>
      </c>
      <c r="AL234" s="5">
        <v>0.4</v>
      </c>
      <c r="AM234" s="5">
        <v>0.83333199999999996</v>
      </c>
      <c r="AN234" s="3">
        <v>631</v>
      </c>
      <c r="AO234">
        <v>4</v>
      </c>
      <c r="AP234">
        <v>4</v>
      </c>
      <c r="AQ234">
        <v>1</v>
      </c>
      <c r="AR234" s="5">
        <v>0.8</v>
      </c>
      <c r="AS234" s="5">
        <v>1.25</v>
      </c>
      <c r="AT234" s="5">
        <v>1</v>
      </c>
    </row>
    <row r="235" spans="1:46" hidden="1">
      <c r="A235" t="str">
        <f>_xlfn.XLOOKUP(Table13[[#This Row],[SAP]],'Location List'!B:B,'Location List'!G:G)</f>
        <v>SA/HILL COUNTRY</v>
      </c>
      <c r="B235" t="str">
        <f>LEFT(Table13[[#This Row],[Sap: Loaction]],4)</f>
        <v>1DSW</v>
      </c>
      <c r="C235" s="4" t="str">
        <f>_xlfn.XLOOKUP(Table13[[#This Row],[Employee]],'Location List'!M:M,'Location List'!N:N,"",0)</f>
        <v>RSM</v>
      </c>
      <c r="D235" t="s">
        <v>973</v>
      </c>
      <c r="E235" t="s">
        <v>891</v>
      </c>
      <c r="F235" t="s">
        <v>500</v>
      </c>
      <c r="G235" s="3">
        <v>4</v>
      </c>
      <c r="H235" s="3">
        <v>894</v>
      </c>
      <c r="I235">
        <v>644.65</v>
      </c>
      <c r="J235" t="s">
        <v>454</v>
      </c>
      <c r="K235" s="6">
        <v>23.75</v>
      </c>
      <c r="L235" s="6">
        <v>40</v>
      </c>
      <c r="M235" s="5">
        <v>0.59375</v>
      </c>
      <c r="N235" s="3">
        <v>789</v>
      </c>
      <c r="O235" s="10">
        <v>6</v>
      </c>
      <c r="P235" s="10">
        <v>120</v>
      </c>
      <c r="Q235" s="5">
        <v>0.05</v>
      </c>
      <c r="R235" s="5">
        <v>0.19</v>
      </c>
      <c r="S235" s="5">
        <v>0.26315699999999997</v>
      </c>
      <c r="T235" s="3">
        <v>1217</v>
      </c>
      <c r="U235" s="10">
        <v>3</v>
      </c>
      <c r="V235" s="10">
        <v>120</v>
      </c>
      <c r="W235" s="5">
        <v>2.5000000000000001E-2</v>
      </c>
      <c r="X235" s="5">
        <v>0.05</v>
      </c>
      <c r="Y235" s="5">
        <v>0.5</v>
      </c>
      <c r="Z235" s="3">
        <v>535</v>
      </c>
      <c r="AA235" s="11">
        <v>2.2999999999999998</v>
      </c>
      <c r="AB235" s="3">
        <v>174</v>
      </c>
      <c r="AC235">
        <v>9.75</v>
      </c>
      <c r="AD235" s="3">
        <v>7</v>
      </c>
      <c r="AE235">
        <v>0</v>
      </c>
      <c r="AF235">
        <v>6</v>
      </c>
      <c r="AG235" s="5">
        <v>0</v>
      </c>
      <c r="AH235" s="5">
        <v>0.1</v>
      </c>
      <c r="AI235" s="5">
        <v>0</v>
      </c>
      <c r="AJ235" s="3">
        <v>696</v>
      </c>
      <c r="AK235" s="5">
        <v>0.111111</v>
      </c>
      <c r="AL235" s="5">
        <v>0.4</v>
      </c>
      <c r="AM235" s="5">
        <v>0.277777</v>
      </c>
      <c r="AN235" s="3">
        <v>1068</v>
      </c>
      <c r="AO235">
        <v>1</v>
      </c>
      <c r="AP235">
        <v>1</v>
      </c>
      <c r="AQ235" s="5">
        <v>1</v>
      </c>
      <c r="AR235" s="5">
        <v>0.8</v>
      </c>
      <c r="AS235" s="5">
        <v>1.25</v>
      </c>
      <c r="AT235" s="5">
        <v>1</v>
      </c>
    </row>
    <row r="236" spans="1:46" hidden="1">
      <c r="A236" t="str">
        <f>_xlfn.XLOOKUP(Table13[[#This Row],[SAP]],'Location List'!B:B,'Location List'!G:G)</f>
        <v>SOUTH TX/RGV</v>
      </c>
      <c r="B236" t="str">
        <f>LEFT(Table13[[#This Row],[Sap: Loaction]],4)</f>
        <v>5332</v>
      </c>
      <c r="C236" s="4" t="str">
        <f>_xlfn.XLOOKUP(Table13[[#This Row],[Employee]],'Location List'!M:M,'Location List'!N:N,"",0)</f>
        <v/>
      </c>
      <c r="D236" t="s">
        <v>973</v>
      </c>
      <c r="E236" t="s">
        <v>622</v>
      </c>
      <c r="F236" t="s">
        <v>563</v>
      </c>
      <c r="G236" s="3">
        <v>4</v>
      </c>
      <c r="H236" s="3">
        <v>896</v>
      </c>
      <c r="I236">
        <v>645.25</v>
      </c>
      <c r="J236" t="s">
        <v>454</v>
      </c>
      <c r="K236" s="6">
        <v>4.09</v>
      </c>
      <c r="L236" s="6">
        <v>35</v>
      </c>
      <c r="M236" s="5">
        <v>0.11685714285714285</v>
      </c>
      <c r="N236" s="3">
        <v>1117</v>
      </c>
      <c r="O236" s="10">
        <v>7</v>
      </c>
      <c r="P236" s="10">
        <v>58</v>
      </c>
      <c r="Q236" s="5">
        <v>0.1206896551724138</v>
      </c>
      <c r="R236" s="5">
        <v>0.19</v>
      </c>
      <c r="S236" s="5">
        <v>0.63520500000000002</v>
      </c>
      <c r="T236" s="3">
        <v>851</v>
      </c>
      <c r="U236" s="10">
        <v>2</v>
      </c>
      <c r="V236" s="10">
        <v>58</v>
      </c>
      <c r="W236" s="5">
        <v>3.4482758620689655E-2</v>
      </c>
      <c r="X236" s="5">
        <v>0.05</v>
      </c>
      <c r="Y236" s="5">
        <v>0.68964000000000003</v>
      </c>
      <c r="Z236" s="3">
        <v>386</v>
      </c>
      <c r="AA236" s="11">
        <v>1</v>
      </c>
      <c r="AB236" s="3">
        <v>741</v>
      </c>
      <c r="AC236">
        <v>10</v>
      </c>
      <c r="AD236" s="3">
        <v>1</v>
      </c>
      <c r="AE236">
        <v>0</v>
      </c>
      <c r="AF236">
        <v>10</v>
      </c>
      <c r="AG236" s="5">
        <v>0</v>
      </c>
      <c r="AH236" s="5">
        <v>0.1</v>
      </c>
      <c r="AI236" s="5">
        <v>0</v>
      </c>
      <c r="AJ236" s="3">
        <v>696</v>
      </c>
      <c r="AK236" s="5">
        <v>1</v>
      </c>
      <c r="AL236" s="5">
        <v>0.4</v>
      </c>
      <c r="AM236" s="5">
        <v>2.5</v>
      </c>
      <c r="AN236" s="3">
        <v>1</v>
      </c>
      <c r="AO236">
        <v>0</v>
      </c>
      <c r="AP236">
        <v>0</v>
      </c>
      <c r="AQ236" s="5" t="s">
        <v>653</v>
      </c>
      <c r="AR236" s="5">
        <v>0.8</v>
      </c>
      <c r="AS236" s="5">
        <v>0</v>
      </c>
      <c r="AT236" s="5">
        <v>902</v>
      </c>
    </row>
    <row r="237" spans="1:46" hidden="1">
      <c r="A237" t="str">
        <f>_xlfn.XLOOKUP(Table13[[#This Row],[SAP]],'Location List'!B:B,'Location List'!G:G)</f>
        <v>KS/OK</v>
      </c>
      <c r="B237" t="str">
        <f>LEFT(Table13[[#This Row],[Sap: Loaction]],4)</f>
        <v>407D</v>
      </c>
      <c r="C237" s="4" t="str">
        <f>_xlfn.XLOOKUP(Table13[[#This Row],[Employee]],'Location List'!M:M,'Location List'!N:N,"",0)</f>
        <v>RSM</v>
      </c>
      <c r="D237" t="s">
        <v>973</v>
      </c>
      <c r="E237" t="s">
        <v>866</v>
      </c>
      <c r="F237" t="s">
        <v>556</v>
      </c>
      <c r="G237" s="3">
        <v>4</v>
      </c>
      <c r="H237" s="3">
        <v>903</v>
      </c>
      <c r="I237">
        <v>646.35</v>
      </c>
      <c r="J237" t="s">
        <v>454</v>
      </c>
      <c r="K237" s="6">
        <v>12.48</v>
      </c>
      <c r="L237" s="6">
        <v>40</v>
      </c>
      <c r="M237" s="5">
        <v>0.312</v>
      </c>
      <c r="N237" s="3">
        <v>987</v>
      </c>
      <c r="O237" s="10">
        <v>2</v>
      </c>
      <c r="P237" s="10">
        <v>74</v>
      </c>
      <c r="Q237" s="5">
        <v>2.7027027027027029E-2</v>
      </c>
      <c r="R237" s="5">
        <v>0.19</v>
      </c>
      <c r="S237" s="5">
        <v>0.14224700000000001</v>
      </c>
      <c r="T237" s="3">
        <v>1292</v>
      </c>
      <c r="U237" s="10">
        <v>1</v>
      </c>
      <c r="V237" s="10">
        <v>74</v>
      </c>
      <c r="W237" s="5">
        <v>1.3513513513513514E-2</v>
      </c>
      <c r="X237" s="5">
        <v>0.05</v>
      </c>
      <c r="Y237" s="5">
        <v>0.27026</v>
      </c>
      <c r="Z237" s="3">
        <v>841</v>
      </c>
      <c r="AA237" s="11">
        <v>2.2000000000000002</v>
      </c>
      <c r="AB237" s="3">
        <v>183</v>
      </c>
      <c r="AC237">
        <v>9.8571419999999996</v>
      </c>
      <c r="AD237" s="3">
        <v>4</v>
      </c>
      <c r="AE237">
        <v>0</v>
      </c>
      <c r="AF237">
        <v>16</v>
      </c>
      <c r="AG237" s="5">
        <v>0</v>
      </c>
      <c r="AH237" s="5">
        <v>0.1</v>
      </c>
      <c r="AI237" s="5">
        <v>0</v>
      </c>
      <c r="AJ237" s="3">
        <v>696</v>
      </c>
      <c r="AK237" s="5">
        <v>0.5</v>
      </c>
      <c r="AL237" s="5">
        <v>0.4</v>
      </c>
      <c r="AM237" s="5">
        <v>1.25</v>
      </c>
      <c r="AN237" s="3">
        <v>326</v>
      </c>
      <c r="AO237">
        <v>1</v>
      </c>
      <c r="AP237">
        <v>1</v>
      </c>
      <c r="AQ237" s="5">
        <v>1</v>
      </c>
      <c r="AR237" s="5">
        <v>0.8</v>
      </c>
      <c r="AS237" s="5">
        <v>1.25</v>
      </c>
      <c r="AT237" s="5">
        <v>1</v>
      </c>
    </row>
    <row r="238" spans="1:46" hidden="1">
      <c r="A238" t="str">
        <f>_xlfn.XLOOKUP(Table13[[#This Row],[SAP]],'Location List'!B:B,'Location List'!G:G)</f>
        <v>DFW NORTH</v>
      </c>
      <c r="B238" t="str">
        <f>LEFT(Table13[[#This Row],[Sap: Loaction]],4)</f>
        <v>1BSA</v>
      </c>
      <c r="C238" s="4" t="str">
        <f>_xlfn.XLOOKUP(Table13[[#This Row],[Employee]],'Location List'!M:M,'Location List'!N:N,"",0)</f>
        <v/>
      </c>
      <c r="D238" t="s">
        <v>973</v>
      </c>
      <c r="E238" t="s">
        <v>844</v>
      </c>
      <c r="F238" t="s">
        <v>580</v>
      </c>
      <c r="G238" s="3">
        <v>4</v>
      </c>
      <c r="H238" s="3">
        <v>905</v>
      </c>
      <c r="I238">
        <v>646.54999999999995</v>
      </c>
      <c r="J238" t="s">
        <v>454</v>
      </c>
      <c r="K238" s="6">
        <v>15.38</v>
      </c>
      <c r="L238" s="6">
        <v>35</v>
      </c>
      <c r="M238" s="5">
        <v>0.43942857142857145</v>
      </c>
      <c r="N238" s="3">
        <v>905</v>
      </c>
      <c r="O238" s="10">
        <v>11</v>
      </c>
      <c r="P238" s="10">
        <v>66</v>
      </c>
      <c r="Q238" s="5">
        <v>0.16666666666666666</v>
      </c>
      <c r="R238" s="5">
        <v>0.19</v>
      </c>
      <c r="S238" s="5">
        <v>0.877189</v>
      </c>
      <c r="T238" s="3">
        <v>606</v>
      </c>
      <c r="U238" s="10">
        <v>0</v>
      </c>
      <c r="V238" s="10">
        <v>66</v>
      </c>
      <c r="W238" s="5">
        <v>0</v>
      </c>
      <c r="X238" s="5">
        <v>0.05</v>
      </c>
      <c r="Y238" s="5">
        <v>0</v>
      </c>
      <c r="Z238" s="3">
        <v>994</v>
      </c>
      <c r="AA238" s="11">
        <v>1.75</v>
      </c>
      <c r="AB238" s="3">
        <v>324</v>
      </c>
      <c r="AC238">
        <v>10</v>
      </c>
      <c r="AD238" s="3">
        <v>1</v>
      </c>
      <c r="AE238">
        <v>0</v>
      </c>
      <c r="AF238">
        <v>5</v>
      </c>
      <c r="AG238" s="5">
        <v>0</v>
      </c>
      <c r="AH238" s="5">
        <v>0.1</v>
      </c>
      <c r="AI238" s="5">
        <v>0</v>
      </c>
      <c r="AJ238" s="3">
        <v>696</v>
      </c>
      <c r="AK238" s="5">
        <v>0.33333299999999999</v>
      </c>
      <c r="AL238" s="5">
        <v>0.4</v>
      </c>
      <c r="AM238" s="5">
        <v>0.83333199999999996</v>
      </c>
      <c r="AN238" s="3">
        <v>631</v>
      </c>
      <c r="AO238">
        <v>0</v>
      </c>
      <c r="AP238">
        <v>0</v>
      </c>
      <c r="AQ238" s="5" t="s">
        <v>653</v>
      </c>
      <c r="AR238" s="5">
        <v>0.8</v>
      </c>
      <c r="AS238" s="5">
        <v>0</v>
      </c>
      <c r="AT238" s="5">
        <v>902</v>
      </c>
    </row>
    <row r="239" spans="1:46">
      <c r="A239" t="str">
        <f>_xlfn.XLOOKUP(Table13[[#This Row],[SAP]],'Location List'!B:B,'Location List'!G:G)</f>
        <v>DFW EAST</v>
      </c>
      <c r="B239" t="str">
        <f>LEFT(Table13[[#This Row],[Sap: Loaction]],4)</f>
        <v>875E</v>
      </c>
      <c r="C239" s="4" t="str">
        <f>_xlfn.XLOOKUP(Table13[[#This Row],[Employee]],'Location List'!M:M,'Location List'!N:N,"",0)</f>
        <v/>
      </c>
      <c r="D239" t="s">
        <v>973</v>
      </c>
      <c r="E239" t="s">
        <v>611</v>
      </c>
      <c r="F239" t="s">
        <v>503</v>
      </c>
      <c r="G239" s="3">
        <v>4</v>
      </c>
      <c r="H239" s="3">
        <v>907</v>
      </c>
      <c r="I239">
        <v>646.79999999999995</v>
      </c>
      <c r="J239" t="s">
        <v>454</v>
      </c>
      <c r="K239" s="6">
        <v>-31.4</v>
      </c>
      <c r="L239" s="6">
        <v>35</v>
      </c>
      <c r="M239" s="5">
        <v>-0.89714285714285713</v>
      </c>
      <c r="N239" s="3">
        <v>1431</v>
      </c>
      <c r="O239" s="10">
        <v>10</v>
      </c>
      <c r="P239" s="10">
        <v>63</v>
      </c>
      <c r="Q239" s="5">
        <v>0.15873015873015872</v>
      </c>
      <c r="R239" s="5">
        <v>0.19</v>
      </c>
      <c r="S239" s="5">
        <v>0.83542099999999997</v>
      </c>
      <c r="T239" s="3">
        <v>648</v>
      </c>
      <c r="U239" s="10">
        <v>1</v>
      </c>
      <c r="V239" s="10">
        <v>63</v>
      </c>
      <c r="W239" s="5">
        <v>1.5873015873015872E-2</v>
      </c>
      <c r="X239" s="5">
        <v>0.05</v>
      </c>
      <c r="Y239" s="5">
        <v>0.31746000000000002</v>
      </c>
      <c r="Z239" s="3">
        <v>785</v>
      </c>
      <c r="AA239" s="11">
        <v>1.571428</v>
      </c>
      <c r="AB239" s="3">
        <v>407</v>
      </c>
      <c r="AC239">
        <v>10</v>
      </c>
      <c r="AD239" s="3">
        <v>1</v>
      </c>
      <c r="AE239">
        <v>4</v>
      </c>
      <c r="AF239">
        <v>10</v>
      </c>
      <c r="AG239" s="5">
        <v>0.4</v>
      </c>
      <c r="AH239" s="5">
        <v>0.1</v>
      </c>
      <c r="AI239" s="5">
        <v>4</v>
      </c>
      <c r="AJ239" s="3">
        <v>79</v>
      </c>
      <c r="AK239" s="5">
        <v>0.25</v>
      </c>
      <c r="AL239" s="5">
        <v>0.4</v>
      </c>
      <c r="AM239" s="5">
        <v>0.625</v>
      </c>
      <c r="AN239" s="3">
        <v>812</v>
      </c>
      <c r="AO239">
        <v>0</v>
      </c>
      <c r="AP239">
        <v>0</v>
      </c>
      <c r="AQ239" s="5" t="s">
        <v>653</v>
      </c>
      <c r="AR239" s="5">
        <v>0.8</v>
      </c>
      <c r="AS239" s="5">
        <v>0</v>
      </c>
      <c r="AT239" s="5">
        <v>902</v>
      </c>
    </row>
    <row r="240" spans="1:46" hidden="1">
      <c r="A240" t="str">
        <f>_xlfn.XLOOKUP(Table13[[#This Row],[SAP]],'Location List'!B:B,'Location List'!G:G)</f>
        <v>MO/IA/NE</v>
      </c>
      <c r="B240" t="str">
        <f>LEFT(Table13[[#This Row],[Sap: Loaction]],4)</f>
        <v>4ASP</v>
      </c>
      <c r="C240" s="4" t="str">
        <f>_xlfn.XLOOKUP(Table13[[#This Row],[Employee]],'Location List'!M:M,'Location List'!N:N,"",0)</f>
        <v/>
      </c>
      <c r="D240" t="s">
        <v>973</v>
      </c>
      <c r="E240" t="s">
        <v>798</v>
      </c>
      <c r="F240" t="s">
        <v>536</v>
      </c>
      <c r="G240" s="3">
        <v>4</v>
      </c>
      <c r="H240" s="3">
        <v>908</v>
      </c>
      <c r="I240">
        <v>646.9</v>
      </c>
      <c r="J240" t="s">
        <v>454</v>
      </c>
      <c r="K240" s="6">
        <v>22.85</v>
      </c>
      <c r="L240" s="6">
        <v>40</v>
      </c>
      <c r="M240" s="5">
        <v>0.57125000000000004</v>
      </c>
      <c r="N240" s="3">
        <v>803</v>
      </c>
      <c r="O240" s="10">
        <v>11</v>
      </c>
      <c r="P240" s="10">
        <v>130</v>
      </c>
      <c r="Q240" s="5">
        <v>8.461538461538462E-2</v>
      </c>
      <c r="R240" s="5">
        <v>0.19</v>
      </c>
      <c r="S240" s="5">
        <v>0.44534200000000002</v>
      </c>
      <c r="T240" s="3">
        <v>1081</v>
      </c>
      <c r="U240" s="10">
        <v>8</v>
      </c>
      <c r="V240" s="10">
        <v>130</v>
      </c>
      <c r="W240" s="5">
        <v>6.1538461538461542E-2</v>
      </c>
      <c r="X240" s="5">
        <v>0.05</v>
      </c>
      <c r="Y240" s="5">
        <v>1.2307600000000001</v>
      </c>
      <c r="Z240" s="3">
        <v>127</v>
      </c>
      <c r="AA240" s="11">
        <v>1.0769230000000001</v>
      </c>
      <c r="AB240" s="3">
        <v>735</v>
      </c>
      <c r="AC240">
        <v>8</v>
      </c>
      <c r="AD240" s="3">
        <v>36</v>
      </c>
      <c r="AE240">
        <v>2</v>
      </c>
      <c r="AF240">
        <v>22</v>
      </c>
      <c r="AG240" s="5">
        <v>9.0909090909090912E-2</v>
      </c>
      <c r="AH240" s="5">
        <v>0.1</v>
      </c>
      <c r="AI240" s="5">
        <v>0.90908999999999995</v>
      </c>
      <c r="AJ240" s="3">
        <v>515</v>
      </c>
      <c r="AK240" s="5">
        <v>0.4166665</v>
      </c>
      <c r="AL240" s="5">
        <v>0.4</v>
      </c>
      <c r="AM240" s="5">
        <v>1.0416650000000001</v>
      </c>
      <c r="AN240" s="3">
        <v>530</v>
      </c>
      <c r="AO240">
        <v>0</v>
      </c>
      <c r="AP240">
        <v>2</v>
      </c>
      <c r="AQ240" s="5">
        <v>0</v>
      </c>
      <c r="AR240" s="5">
        <v>0.8</v>
      </c>
      <c r="AS240" s="5">
        <v>0</v>
      </c>
      <c r="AT240" s="5">
        <v>902</v>
      </c>
    </row>
    <row r="241" spans="1:46" hidden="1">
      <c r="A241" t="str">
        <f>_xlfn.XLOOKUP(Table13[[#This Row],[SAP]],'Location List'!B:B,'Location List'!G:G)</f>
        <v>CENTRAL TEXAS</v>
      </c>
      <c r="B241" t="str">
        <f>LEFT(Table13[[#This Row],[Sap: Loaction]],4)</f>
        <v>1DSF</v>
      </c>
      <c r="C241" s="4" t="str">
        <f>_xlfn.XLOOKUP(Table13[[#This Row],[Employee]],'Location List'!M:M,'Location List'!N:N,"",0)</f>
        <v/>
      </c>
      <c r="D241" t="s">
        <v>973</v>
      </c>
      <c r="E241" t="s">
        <v>744</v>
      </c>
      <c r="F241" t="s">
        <v>546</v>
      </c>
      <c r="G241" s="3">
        <v>4</v>
      </c>
      <c r="H241" s="3">
        <v>911</v>
      </c>
      <c r="I241">
        <v>648.54999999999995</v>
      </c>
      <c r="J241" t="s">
        <v>454</v>
      </c>
      <c r="K241" s="6">
        <v>-9.81</v>
      </c>
      <c r="L241" s="6">
        <v>35</v>
      </c>
      <c r="M241" s="5">
        <v>-0.2802857142857143</v>
      </c>
      <c r="N241" s="3">
        <v>1342</v>
      </c>
      <c r="O241" s="10">
        <v>5</v>
      </c>
      <c r="P241" s="10">
        <v>43</v>
      </c>
      <c r="Q241" s="5">
        <v>0.11627906976744186</v>
      </c>
      <c r="R241" s="5">
        <v>0.19</v>
      </c>
      <c r="S241" s="5">
        <v>0.61199400000000004</v>
      </c>
      <c r="T241" s="3">
        <v>884</v>
      </c>
      <c r="U241" s="10">
        <v>2</v>
      </c>
      <c r="V241" s="10">
        <v>43</v>
      </c>
      <c r="W241" s="5">
        <v>4.6511627906976744E-2</v>
      </c>
      <c r="X241" s="5">
        <v>0.05</v>
      </c>
      <c r="Y241" s="5">
        <v>0.93022000000000005</v>
      </c>
      <c r="Z241" s="3">
        <v>256</v>
      </c>
      <c r="AA241" s="11">
        <v>1</v>
      </c>
      <c r="AB241" s="3">
        <v>741</v>
      </c>
      <c r="AC241">
        <v>10</v>
      </c>
      <c r="AD241" s="3">
        <v>1</v>
      </c>
      <c r="AE241">
        <v>1</v>
      </c>
      <c r="AF241">
        <v>6</v>
      </c>
      <c r="AG241" s="5">
        <v>0.16666666666666666</v>
      </c>
      <c r="AH241" s="5">
        <v>0.1</v>
      </c>
      <c r="AI241" s="5">
        <v>1.66666</v>
      </c>
      <c r="AJ241" s="3">
        <v>319</v>
      </c>
      <c r="AK241" s="5">
        <v>0.5</v>
      </c>
      <c r="AL241" s="5">
        <v>0.4</v>
      </c>
      <c r="AM241" s="5">
        <v>1.25</v>
      </c>
      <c r="AN241" s="3">
        <v>326</v>
      </c>
      <c r="AO241">
        <v>0</v>
      </c>
      <c r="AP241">
        <v>0</v>
      </c>
      <c r="AQ241" s="5" t="s">
        <v>653</v>
      </c>
      <c r="AR241" s="5">
        <v>0.8</v>
      </c>
      <c r="AS241" s="5">
        <v>0</v>
      </c>
      <c r="AT241" s="5">
        <v>902</v>
      </c>
    </row>
    <row r="242" spans="1:46" hidden="1">
      <c r="A242" t="str">
        <f>_xlfn.XLOOKUP(Table13[[#This Row],[SAP]],'Location List'!B:B,'Location List'!G:G)</f>
        <v>MO/IA/NE</v>
      </c>
      <c r="B242" t="str">
        <f>LEFT(Table13[[#This Row],[Sap: Loaction]],4)</f>
        <v>4ASP</v>
      </c>
      <c r="C242" s="4" t="str">
        <f>_xlfn.XLOOKUP(Table13[[#This Row],[Employee]],'Location List'!M:M,'Location List'!N:N,"",0)</f>
        <v/>
      </c>
      <c r="D242" t="s">
        <v>973</v>
      </c>
      <c r="E242" t="s">
        <v>797</v>
      </c>
      <c r="F242" t="s">
        <v>536</v>
      </c>
      <c r="G242" s="3">
        <v>4</v>
      </c>
      <c r="H242" s="3">
        <v>913</v>
      </c>
      <c r="I242">
        <v>648.95000000000005</v>
      </c>
      <c r="J242" t="s">
        <v>454</v>
      </c>
      <c r="K242" s="6">
        <v>48.28</v>
      </c>
      <c r="L242" s="6">
        <v>40</v>
      </c>
      <c r="M242" s="5">
        <v>1.2070000000000001</v>
      </c>
      <c r="N242" s="3">
        <v>361</v>
      </c>
      <c r="O242" s="10">
        <v>20</v>
      </c>
      <c r="P242" s="10">
        <v>126</v>
      </c>
      <c r="Q242" s="5">
        <v>0.15873015873015872</v>
      </c>
      <c r="R242" s="5">
        <v>0.19</v>
      </c>
      <c r="S242" s="5">
        <v>0.83542099999999997</v>
      </c>
      <c r="T242" s="3">
        <v>648</v>
      </c>
      <c r="U242" s="10">
        <v>4</v>
      </c>
      <c r="V242" s="10">
        <v>126</v>
      </c>
      <c r="W242" s="5">
        <v>3.1746031746031744E-2</v>
      </c>
      <c r="X242" s="5">
        <v>0.05</v>
      </c>
      <c r="Y242" s="5">
        <v>0.63492000000000004</v>
      </c>
      <c r="Z242" s="3">
        <v>423</v>
      </c>
      <c r="AA242" s="11">
        <v>0.461538</v>
      </c>
      <c r="AB242" s="3">
        <v>1223</v>
      </c>
      <c r="AC242">
        <v>9.5</v>
      </c>
      <c r="AD242" s="3">
        <v>14</v>
      </c>
      <c r="AE242">
        <v>1</v>
      </c>
      <c r="AF242">
        <v>24</v>
      </c>
      <c r="AG242" s="5">
        <v>4.1666666666666664E-2</v>
      </c>
      <c r="AH242" s="5">
        <v>0.1</v>
      </c>
      <c r="AI242" s="5">
        <v>0.41665999999999997</v>
      </c>
      <c r="AJ242" s="3">
        <v>670</v>
      </c>
      <c r="AK242" s="5">
        <v>9.9999999999999992E-2</v>
      </c>
      <c r="AL242" s="5">
        <v>0.4</v>
      </c>
      <c r="AM242" s="5">
        <v>0.25</v>
      </c>
      <c r="AN242" s="3">
        <v>1085</v>
      </c>
      <c r="AO242">
        <v>0</v>
      </c>
      <c r="AP242">
        <v>5</v>
      </c>
      <c r="AQ242" s="5">
        <v>0</v>
      </c>
      <c r="AR242" s="5">
        <v>0.8</v>
      </c>
      <c r="AS242" s="5">
        <v>0</v>
      </c>
      <c r="AT242" s="5">
        <v>902</v>
      </c>
    </row>
    <row r="243" spans="1:46">
      <c r="A243" t="str">
        <f>_xlfn.XLOOKUP(Table13[[#This Row],[SAP]],'Location List'!B:B,'Location List'!G:G)</f>
        <v>DFW NORTH</v>
      </c>
      <c r="B243" t="str">
        <f>LEFT(Table13[[#This Row],[Sap: Loaction]],4)</f>
        <v>1BSA</v>
      </c>
      <c r="C243" s="4" t="str">
        <f>_xlfn.XLOOKUP(Table13[[#This Row],[Employee]],'Location List'!M:M,'Location List'!N:N,"",0)</f>
        <v/>
      </c>
      <c r="D243" t="s">
        <v>973</v>
      </c>
      <c r="E243" t="s">
        <v>643</v>
      </c>
      <c r="F243" t="s">
        <v>580</v>
      </c>
      <c r="G243" s="3">
        <v>4</v>
      </c>
      <c r="H243" s="3">
        <v>915</v>
      </c>
      <c r="I243">
        <v>649.45000000000005</v>
      </c>
      <c r="J243" t="s">
        <v>454</v>
      </c>
      <c r="K243" s="6">
        <v>-1.1399999999999999</v>
      </c>
      <c r="L243" s="6">
        <v>35</v>
      </c>
      <c r="M243" s="5">
        <v>-3.2571428571428571E-2</v>
      </c>
      <c r="N243" s="3">
        <v>1251</v>
      </c>
      <c r="O243" s="10">
        <v>9</v>
      </c>
      <c r="P243" s="10">
        <v>60</v>
      </c>
      <c r="Q243" s="5">
        <v>0.15</v>
      </c>
      <c r="R243" s="5">
        <v>0.19</v>
      </c>
      <c r="S243" s="5">
        <v>0.78947299999999998</v>
      </c>
      <c r="T243" s="3">
        <v>686</v>
      </c>
      <c r="U243" s="10">
        <v>0</v>
      </c>
      <c r="V243" s="10">
        <v>60</v>
      </c>
      <c r="W243" s="5">
        <v>0</v>
      </c>
      <c r="X243" s="5">
        <v>0.05</v>
      </c>
      <c r="Y243" s="5">
        <v>0</v>
      </c>
      <c r="Z243" s="3">
        <v>994</v>
      </c>
      <c r="AA243" s="11">
        <v>1.6</v>
      </c>
      <c r="AB243" s="3">
        <v>394</v>
      </c>
      <c r="AC243">
        <v>10</v>
      </c>
      <c r="AD243" s="3">
        <v>1</v>
      </c>
      <c r="AE243">
        <v>0</v>
      </c>
      <c r="AF243">
        <v>7</v>
      </c>
      <c r="AG243" s="5">
        <v>0</v>
      </c>
      <c r="AH243" s="5">
        <v>0.1</v>
      </c>
      <c r="AI243" s="5">
        <v>0</v>
      </c>
      <c r="AJ243" s="3">
        <v>696</v>
      </c>
      <c r="AK243" s="5">
        <v>0.25</v>
      </c>
      <c r="AL243" s="5">
        <v>0.4</v>
      </c>
      <c r="AM243" s="5">
        <v>0.625</v>
      </c>
      <c r="AN243" s="3">
        <v>812</v>
      </c>
      <c r="AO243">
        <v>1</v>
      </c>
      <c r="AP243">
        <v>1</v>
      </c>
      <c r="AQ243" s="5">
        <v>1</v>
      </c>
      <c r="AR243" s="5">
        <v>0.8</v>
      </c>
      <c r="AS243" s="5">
        <v>1.25</v>
      </c>
      <c r="AT243" s="5">
        <v>1</v>
      </c>
    </row>
    <row r="244" spans="1:46" hidden="1">
      <c r="A244" t="str">
        <f>_xlfn.XLOOKUP(Table13[[#This Row],[SAP]],'Location List'!B:B,'Location List'!G:G)</f>
        <v>MO/IA/NE</v>
      </c>
      <c r="B244" t="str">
        <f>LEFT(Table13[[#This Row],[Sap: Loaction]],4)</f>
        <v>4BSR</v>
      </c>
      <c r="C244" s="4" t="str">
        <f>_xlfn.XLOOKUP(Table13[[#This Row],[Employee]],'Location List'!M:M,'Location List'!N:N,"",0)</f>
        <v/>
      </c>
      <c r="D244" t="s">
        <v>973</v>
      </c>
      <c r="E244" t="s">
        <v>755</v>
      </c>
      <c r="F244" t="s">
        <v>558</v>
      </c>
      <c r="G244" s="3">
        <v>4</v>
      </c>
      <c r="H244" s="3">
        <v>916</v>
      </c>
      <c r="I244">
        <v>649.9</v>
      </c>
      <c r="J244" t="s">
        <v>454</v>
      </c>
      <c r="K244" s="6">
        <v>38.82</v>
      </c>
      <c r="L244" s="6">
        <v>35</v>
      </c>
      <c r="M244" s="5">
        <v>1.1091428571428572</v>
      </c>
      <c r="N244" s="3">
        <v>426</v>
      </c>
      <c r="O244" s="10">
        <v>8</v>
      </c>
      <c r="P244" s="10">
        <v>142</v>
      </c>
      <c r="Q244" s="5">
        <v>5.6338028169014086E-2</v>
      </c>
      <c r="R244" s="5">
        <v>0.19</v>
      </c>
      <c r="S244" s="5">
        <v>0.29651499999999997</v>
      </c>
      <c r="T244" s="3">
        <v>1197</v>
      </c>
      <c r="U244" s="10">
        <v>6</v>
      </c>
      <c r="V244" s="10">
        <v>142</v>
      </c>
      <c r="W244" s="5">
        <v>4.2253521126760563E-2</v>
      </c>
      <c r="X244" s="5">
        <v>0.05</v>
      </c>
      <c r="Y244" s="5">
        <v>0.84506000000000003</v>
      </c>
      <c r="Z244" s="3">
        <v>304</v>
      </c>
      <c r="AA244" s="11">
        <v>1.7142850000000001</v>
      </c>
      <c r="AB244" s="3">
        <v>341</v>
      </c>
      <c r="AC244">
        <v>5.8</v>
      </c>
      <c r="AD244" s="3">
        <v>56</v>
      </c>
      <c r="AE244">
        <v>1</v>
      </c>
      <c r="AF244">
        <v>25</v>
      </c>
      <c r="AG244" s="5">
        <v>0.04</v>
      </c>
      <c r="AH244" s="5">
        <v>0.1</v>
      </c>
      <c r="AI244" s="5">
        <v>0.4</v>
      </c>
      <c r="AJ244" s="3">
        <v>674</v>
      </c>
      <c r="AK244" s="5">
        <v>0</v>
      </c>
      <c r="AL244" s="5">
        <v>0.4</v>
      </c>
      <c r="AM244" s="5">
        <v>0</v>
      </c>
      <c r="AN244" s="3">
        <v>1150</v>
      </c>
      <c r="AO244">
        <v>5</v>
      </c>
      <c r="AP244">
        <v>6</v>
      </c>
      <c r="AQ244" s="5">
        <v>0.83333333333333337</v>
      </c>
      <c r="AR244" s="5">
        <v>0.8</v>
      </c>
      <c r="AS244" s="5">
        <v>1.041666</v>
      </c>
      <c r="AT244" s="5">
        <v>604</v>
      </c>
    </row>
    <row r="245" spans="1:46" hidden="1">
      <c r="A245" t="str">
        <f>_xlfn.XLOOKUP(Table13[[#This Row],[SAP]],'Location List'!B:B,'Location List'!G:G)</f>
        <v>SA SOUTH</v>
      </c>
      <c r="B245" t="str">
        <f>LEFT(Table13[[#This Row],[Sap: Loaction]],4)</f>
        <v>1VSE</v>
      </c>
      <c r="C245" s="4" t="str">
        <f>_xlfn.XLOOKUP(Table13[[#This Row],[Employee]],'Location List'!M:M,'Location List'!N:N,"",0)</f>
        <v/>
      </c>
      <c r="D245" t="s">
        <v>973</v>
      </c>
      <c r="E245" t="s">
        <v>947</v>
      </c>
      <c r="F245" t="s">
        <v>575</v>
      </c>
      <c r="G245" s="3">
        <v>4</v>
      </c>
      <c r="H245" s="3">
        <v>916</v>
      </c>
      <c r="I245">
        <v>649.9</v>
      </c>
      <c r="J245" t="s">
        <v>454</v>
      </c>
      <c r="K245" s="6">
        <v>19.420000000000002</v>
      </c>
      <c r="L245" s="6">
        <v>35.000000000000007</v>
      </c>
      <c r="M245" s="5">
        <v>0.55485714285714283</v>
      </c>
      <c r="N245" s="3">
        <v>814</v>
      </c>
      <c r="O245" s="10">
        <v>7</v>
      </c>
      <c r="P245" s="10">
        <v>69</v>
      </c>
      <c r="Q245" s="5">
        <v>0.10144927536231885</v>
      </c>
      <c r="R245" s="5">
        <v>0.19</v>
      </c>
      <c r="S245" s="5">
        <v>0.53394200000000003</v>
      </c>
      <c r="T245" s="3">
        <v>979</v>
      </c>
      <c r="U245" s="10">
        <v>3</v>
      </c>
      <c r="V245" s="10">
        <v>69</v>
      </c>
      <c r="W245" s="5">
        <v>4.3478260869565216E-2</v>
      </c>
      <c r="X245" s="5">
        <v>0.05</v>
      </c>
      <c r="Y245" s="5">
        <v>0.86956</v>
      </c>
      <c r="Z245" s="3">
        <v>286</v>
      </c>
      <c r="AA245" s="11">
        <v>0.71428499999999995</v>
      </c>
      <c r="AB245" s="3">
        <v>1028</v>
      </c>
      <c r="AC245">
        <v>10</v>
      </c>
      <c r="AD245" s="3">
        <v>1</v>
      </c>
      <c r="AE245">
        <v>0</v>
      </c>
      <c r="AF245">
        <v>1</v>
      </c>
      <c r="AG245" s="5">
        <v>0</v>
      </c>
      <c r="AH245" s="5">
        <v>0.1</v>
      </c>
      <c r="AI245" s="5">
        <v>0</v>
      </c>
      <c r="AJ245" s="3">
        <v>696</v>
      </c>
      <c r="AK245" s="5">
        <v>0.1666665</v>
      </c>
      <c r="AL245" s="5">
        <v>0.4</v>
      </c>
      <c r="AM245" s="5">
        <v>0.41666500000000001</v>
      </c>
      <c r="AN245" s="3">
        <v>960</v>
      </c>
      <c r="AO245">
        <v>2</v>
      </c>
      <c r="AP245">
        <v>2</v>
      </c>
      <c r="AQ245" s="5">
        <v>1</v>
      </c>
      <c r="AR245" s="5">
        <v>0.8</v>
      </c>
      <c r="AS245" s="5">
        <v>1.25</v>
      </c>
      <c r="AT245" s="5">
        <v>1</v>
      </c>
    </row>
    <row r="246" spans="1:46" hidden="1">
      <c r="A246" t="str">
        <f>_xlfn.XLOOKUP(Table13[[#This Row],[SAP]],'Location List'!B:B,'Location List'!G:G)</f>
        <v>CENTRAL TEXAS</v>
      </c>
      <c r="B246" t="str">
        <f>LEFT(Table13[[#This Row],[Sap: Loaction]],4)</f>
        <v>1DSD</v>
      </c>
      <c r="C246" s="4" t="str">
        <f>_xlfn.XLOOKUP(Table13[[#This Row],[Employee]],'Location List'!M:M,'Location List'!N:N,"",0)</f>
        <v/>
      </c>
      <c r="D246" t="s">
        <v>973</v>
      </c>
      <c r="E246" t="s">
        <v>650</v>
      </c>
      <c r="F246" t="s">
        <v>567</v>
      </c>
      <c r="G246" s="3">
        <v>4</v>
      </c>
      <c r="H246" s="3">
        <v>923</v>
      </c>
      <c r="I246">
        <v>651.29999999999995</v>
      </c>
      <c r="J246" t="s">
        <v>454</v>
      </c>
      <c r="K246" s="6">
        <v>47.27</v>
      </c>
      <c r="L246" s="6">
        <v>35</v>
      </c>
      <c r="M246" s="5">
        <v>1.3505714285714285</v>
      </c>
      <c r="N246" s="3">
        <v>300</v>
      </c>
      <c r="O246" s="10">
        <v>10</v>
      </c>
      <c r="P246" s="10">
        <v>93</v>
      </c>
      <c r="Q246" s="5">
        <v>0.10752688172043011</v>
      </c>
      <c r="R246" s="5">
        <v>0.19</v>
      </c>
      <c r="S246" s="5">
        <v>0.56592600000000004</v>
      </c>
      <c r="T246" s="3">
        <v>939</v>
      </c>
      <c r="U246" s="10">
        <v>12</v>
      </c>
      <c r="V246" s="10">
        <v>93</v>
      </c>
      <c r="W246" s="5">
        <v>0.12903225806451613</v>
      </c>
      <c r="X246" s="5">
        <v>0.05</v>
      </c>
      <c r="Y246" s="5">
        <v>2.5806399999999998</v>
      </c>
      <c r="Z246" s="3">
        <v>7</v>
      </c>
      <c r="AA246" s="11">
        <v>0.56000000000000005</v>
      </c>
      <c r="AB246" s="3">
        <v>1153</v>
      </c>
      <c r="AC246">
        <v>10</v>
      </c>
      <c r="AD246" s="3">
        <v>1</v>
      </c>
      <c r="AE246">
        <v>0</v>
      </c>
      <c r="AF246">
        <v>11</v>
      </c>
      <c r="AG246" s="5">
        <v>0</v>
      </c>
      <c r="AH246" s="5">
        <v>0.1</v>
      </c>
      <c r="AI246" s="5">
        <v>0</v>
      </c>
      <c r="AJ246" s="3">
        <v>696</v>
      </c>
      <c r="AK246" s="5">
        <v>0</v>
      </c>
      <c r="AL246" s="5">
        <v>0.4</v>
      </c>
      <c r="AM246" s="5">
        <v>0</v>
      </c>
      <c r="AN246" s="3">
        <v>1150</v>
      </c>
      <c r="AO246">
        <v>2</v>
      </c>
      <c r="AP246">
        <v>6</v>
      </c>
      <c r="AQ246" s="5">
        <v>0.33333333333333331</v>
      </c>
      <c r="AR246" s="5">
        <v>0.8</v>
      </c>
      <c r="AS246" s="5">
        <v>0.41666599999999998</v>
      </c>
      <c r="AT246" s="5">
        <v>830</v>
      </c>
    </row>
    <row r="247" spans="1:46" hidden="1">
      <c r="A247" t="str">
        <f>_xlfn.XLOOKUP(Table13[[#This Row],[SAP]],'Location List'!B:B,'Location List'!G:G)</f>
        <v>SA SOUTH</v>
      </c>
      <c r="B247" t="str">
        <f>LEFT(Table13[[#This Row],[Sap: Loaction]],4)</f>
        <v>1ESL</v>
      </c>
      <c r="C247" s="4" t="str">
        <f>_xlfn.XLOOKUP(Table13[[#This Row],[Employee]],'Location List'!M:M,'Location List'!N:N,"",0)</f>
        <v/>
      </c>
      <c r="D247" t="s">
        <v>973</v>
      </c>
      <c r="E247" t="s">
        <v>684</v>
      </c>
      <c r="F247" t="s">
        <v>519</v>
      </c>
      <c r="G247" s="3">
        <v>4</v>
      </c>
      <c r="H247" s="3">
        <v>924</v>
      </c>
      <c r="I247">
        <v>651.85</v>
      </c>
      <c r="J247" t="s">
        <v>454</v>
      </c>
      <c r="K247" s="6">
        <v>-20.49</v>
      </c>
      <c r="L247" s="6">
        <v>35</v>
      </c>
      <c r="M247" s="5">
        <v>-0.58542857142857141</v>
      </c>
      <c r="N247" s="3">
        <v>1403</v>
      </c>
      <c r="O247" s="10">
        <v>11</v>
      </c>
      <c r="P247" s="10">
        <v>94</v>
      </c>
      <c r="Q247" s="5">
        <v>0.11702127659574468</v>
      </c>
      <c r="R247" s="5">
        <v>0.19</v>
      </c>
      <c r="S247" s="5">
        <v>0.6159</v>
      </c>
      <c r="T247" s="3">
        <v>877</v>
      </c>
      <c r="U247" s="10">
        <v>1</v>
      </c>
      <c r="V247" s="10">
        <v>94</v>
      </c>
      <c r="W247" s="5">
        <v>1.0638297872340425E-2</v>
      </c>
      <c r="X247" s="5">
        <v>0.05</v>
      </c>
      <c r="Y247" s="5">
        <v>0.21276</v>
      </c>
      <c r="Z247" s="3">
        <v>919</v>
      </c>
      <c r="AA247" s="11">
        <v>1.4</v>
      </c>
      <c r="AB247" s="3">
        <v>509</v>
      </c>
      <c r="AC247">
        <v>10</v>
      </c>
      <c r="AD247" s="3">
        <v>1</v>
      </c>
      <c r="AE247">
        <v>1</v>
      </c>
      <c r="AF247">
        <v>1</v>
      </c>
      <c r="AG247" s="5">
        <v>1</v>
      </c>
      <c r="AH247" s="5">
        <v>0.1</v>
      </c>
      <c r="AI247" s="5">
        <v>10</v>
      </c>
      <c r="AJ247" s="3">
        <v>2</v>
      </c>
      <c r="AK247" s="5">
        <v>0.5</v>
      </c>
      <c r="AL247" s="5">
        <v>0.4</v>
      </c>
      <c r="AM247" s="5">
        <v>1.25</v>
      </c>
      <c r="AN247" s="3">
        <v>326</v>
      </c>
      <c r="AO247">
        <v>0</v>
      </c>
      <c r="AP247">
        <v>0</v>
      </c>
      <c r="AQ247" s="5" t="s">
        <v>653</v>
      </c>
      <c r="AR247" s="5">
        <v>0.8</v>
      </c>
      <c r="AS247" s="5">
        <v>0</v>
      </c>
      <c r="AT247" s="5">
        <v>902</v>
      </c>
    </row>
    <row r="248" spans="1:46" hidden="1">
      <c r="A248" t="str">
        <f>_xlfn.XLOOKUP(Table13[[#This Row],[SAP]],'Location List'!B:B,'Location List'!G:G)</f>
        <v>DFW EAST</v>
      </c>
      <c r="B248" t="str">
        <f>LEFT(Table13[[#This Row],[Sap: Loaction]],4)</f>
        <v>618E</v>
      </c>
      <c r="C248" s="4" t="str">
        <f>_xlfn.XLOOKUP(Table13[[#This Row],[Employee]],'Location List'!M:M,'Location List'!N:N,"",0)</f>
        <v/>
      </c>
      <c r="D248" t="s">
        <v>973</v>
      </c>
      <c r="E248" t="s">
        <v>773</v>
      </c>
      <c r="F248" t="s">
        <v>511</v>
      </c>
      <c r="G248" s="3">
        <v>4</v>
      </c>
      <c r="H248" s="3">
        <v>925</v>
      </c>
      <c r="I248">
        <v>652.1</v>
      </c>
      <c r="J248" t="s">
        <v>454</v>
      </c>
      <c r="K248" s="6">
        <v>19.98</v>
      </c>
      <c r="L248" s="6">
        <v>30</v>
      </c>
      <c r="M248" s="5">
        <v>0.66600000000000004</v>
      </c>
      <c r="N248" s="3">
        <v>744</v>
      </c>
      <c r="O248" s="10">
        <v>13</v>
      </c>
      <c r="P248" s="10">
        <v>50</v>
      </c>
      <c r="Q248" s="5">
        <v>0.26</v>
      </c>
      <c r="R248" s="5">
        <v>0.19</v>
      </c>
      <c r="S248" s="5">
        <v>1.3684210000000001</v>
      </c>
      <c r="T248" s="3">
        <v>250</v>
      </c>
      <c r="U248" s="10">
        <v>0</v>
      </c>
      <c r="V248" s="10">
        <v>50</v>
      </c>
      <c r="W248" s="5">
        <v>0</v>
      </c>
      <c r="X248" s="5">
        <v>0.05</v>
      </c>
      <c r="Y248" s="5">
        <v>0</v>
      </c>
      <c r="Z248" s="3">
        <v>994</v>
      </c>
      <c r="AA248" s="11">
        <v>0.222222</v>
      </c>
      <c r="AB248" s="3">
        <v>1335</v>
      </c>
      <c r="AC248">
        <v>8</v>
      </c>
      <c r="AD248" s="3">
        <v>36</v>
      </c>
      <c r="AE248">
        <v>0</v>
      </c>
      <c r="AF248">
        <v>6</v>
      </c>
      <c r="AG248" s="5">
        <v>0</v>
      </c>
      <c r="AH248" s="5">
        <v>0.1</v>
      </c>
      <c r="AI248" s="5">
        <v>0</v>
      </c>
      <c r="AJ248" s="3">
        <v>696</v>
      </c>
      <c r="AK248" s="5">
        <v>0.21428549999999999</v>
      </c>
      <c r="AL248" s="5">
        <v>0.4</v>
      </c>
      <c r="AM248" s="5">
        <v>0.53571199999999997</v>
      </c>
      <c r="AN248" s="3">
        <v>924</v>
      </c>
      <c r="AO248">
        <v>7</v>
      </c>
      <c r="AP248">
        <v>8</v>
      </c>
      <c r="AQ248" s="5">
        <v>0.875</v>
      </c>
      <c r="AR248" s="5">
        <v>0.8</v>
      </c>
      <c r="AS248" s="5">
        <v>1.09375</v>
      </c>
      <c r="AT248" s="5">
        <v>572</v>
      </c>
    </row>
    <row r="249" spans="1:46">
      <c r="A249" t="str">
        <f>_xlfn.XLOOKUP(Table13[[#This Row],[SAP]],'Location List'!B:B,'Location List'!G:G)</f>
        <v>SA SOUTH</v>
      </c>
      <c r="B249" t="str">
        <f>LEFT(Table13[[#This Row],[Sap: Loaction]],4)</f>
        <v>1ESF</v>
      </c>
      <c r="C249" s="4" t="str">
        <f>_xlfn.XLOOKUP(Table13[[#This Row],[Employee]],'Location List'!M:M,'Location List'!N:N,"",0)</f>
        <v/>
      </c>
      <c r="D249" t="s">
        <v>973</v>
      </c>
      <c r="E249" t="s">
        <v>694</v>
      </c>
      <c r="F249" t="s">
        <v>568</v>
      </c>
      <c r="G249" s="3">
        <v>4</v>
      </c>
      <c r="H249" s="3">
        <v>926</v>
      </c>
      <c r="I249">
        <v>652.45000000000005</v>
      </c>
      <c r="J249" t="s">
        <v>454</v>
      </c>
      <c r="K249" s="6">
        <v>44.28</v>
      </c>
      <c r="L249" s="6">
        <v>40</v>
      </c>
      <c r="M249" s="5">
        <v>1.107</v>
      </c>
      <c r="N249" s="3">
        <v>429</v>
      </c>
      <c r="O249" s="10">
        <v>23</v>
      </c>
      <c r="P249" s="10">
        <v>140</v>
      </c>
      <c r="Q249" s="5">
        <v>0.16428571428571428</v>
      </c>
      <c r="R249" s="5">
        <v>0.19</v>
      </c>
      <c r="S249" s="5">
        <v>0.86465700000000001</v>
      </c>
      <c r="T249" s="3">
        <v>625</v>
      </c>
      <c r="U249" s="10">
        <v>3</v>
      </c>
      <c r="V249" s="10">
        <v>140</v>
      </c>
      <c r="W249" s="5">
        <v>2.1428571428571429E-2</v>
      </c>
      <c r="X249" s="5">
        <v>0.05</v>
      </c>
      <c r="Y249" s="5">
        <v>0.42856</v>
      </c>
      <c r="Z249" s="3">
        <v>622</v>
      </c>
      <c r="AA249" s="11">
        <v>0.235294</v>
      </c>
      <c r="AB249" s="3">
        <v>1333</v>
      </c>
      <c r="AC249">
        <v>0</v>
      </c>
      <c r="AD249" s="3">
        <v>75</v>
      </c>
      <c r="AE249">
        <v>1</v>
      </c>
      <c r="AF249">
        <v>20</v>
      </c>
      <c r="AG249" s="5">
        <v>0.05</v>
      </c>
      <c r="AH249" s="5">
        <v>0.1</v>
      </c>
      <c r="AI249" s="5">
        <v>0.5</v>
      </c>
      <c r="AJ249" s="3">
        <v>640</v>
      </c>
      <c r="AK249" s="5">
        <v>0.31818166666666664</v>
      </c>
      <c r="AL249" s="5">
        <v>0.4</v>
      </c>
      <c r="AM249" s="5">
        <v>0.79545200000000005</v>
      </c>
      <c r="AN249" s="3">
        <v>739</v>
      </c>
      <c r="AO249">
        <v>0</v>
      </c>
      <c r="AP249">
        <v>14</v>
      </c>
      <c r="AQ249" s="5">
        <v>0</v>
      </c>
      <c r="AR249" s="5">
        <v>0.8</v>
      </c>
      <c r="AS249" s="5">
        <v>0</v>
      </c>
      <c r="AT249" s="5">
        <v>902</v>
      </c>
    </row>
    <row r="250" spans="1:46" hidden="1">
      <c r="A250" t="str">
        <f>_xlfn.XLOOKUP(Table13[[#This Row],[SAP]],'Location List'!B:B,'Location List'!G:G)</f>
        <v>SA/HILL COUNTRY</v>
      </c>
      <c r="B250" t="str">
        <f>LEFT(Table13[[#This Row],[Sap: Loaction]],4)</f>
        <v>1ESB</v>
      </c>
      <c r="C250" s="4" t="str">
        <f>_xlfn.XLOOKUP(Table13[[#This Row],[Employee]],'Location List'!M:M,'Location List'!N:N,"",0)</f>
        <v>RSM</v>
      </c>
      <c r="D250" t="s">
        <v>973</v>
      </c>
      <c r="E250" t="s">
        <v>816</v>
      </c>
      <c r="F250" t="s">
        <v>515</v>
      </c>
      <c r="G250" s="3">
        <v>4</v>
      </c>
      <c r="H250" s="3">
        <v>926</v>
      </c>
      <c r="I250">
        <v>652.45000000000005</v>
      </c>
      <c r="J250" t="s">
        <v>454</v>
      </c>
      <c r="K250" s="6">
        <v>-4.29</v>
      </c>
      <c r="L250" s="6">
        <v>40</v>
      </c>
      <c r="M250" s="5">
        <v>-0.10725</v>
      </c>
      <c r="N250" s="3">
        <v>1291</v>
      </c>
      <c r="O250" s="10">
        <v>4</v>
      </c>
      <c r="P250" s="10">
        <v>37</v>
      </c>
      <c r="Q250" s="5">
        <v>0.10810810810810811</v>
      </c>
      <c r="R250" s="5">
        <v>0.19</v>
      </c>
      <c r="S250" s="5">
        <v>0.56898899999999997</v>
      </c>
      <c r="T250" s="3">
        <v>932</v>
      </c>
      <c r="U250" s="10">
        <v>2</v>
      </c>
      <c r="V250" s="10">
        <v>37</v>
      </c>
      <c r="W250" s="5">
        <v>5.4054054054054057E-2</v>
      </c>
      <c r="X250" s="5">
        <v>0.05</v>
      </c>
      <c r="Y250" s="5">
        <v>1.08108</v>
      </c>
      <c r="Z250" s="3">
        <v>180</v>
      </c>
      <c r="AA250" s="11">
        <v>0.5</v>
      </c>
      <c r="AB250" s="3">
        <v>1172</v>
      </c>
      <c r="AC250">
        <v>10</v>
      </c>
      <c r="AD250" s="3">
        <v>1</v>
      </c>
      <c r="AE250">
        <v>0</v>
      </c>
      <c r="AF250">
        <v>7</v>
      </c>
      <c r="AG250" s="5">
        <v>0</v>
      </c>
      <c r="AH250" s="5">
        <v>0.1</v>
      </c>
      <c r="AI250" s="5">
        <v>0</v>
      </c>
      <c r="AJ250" s="3">
        <v>696</v>
      </c>
      <c r="AK250" s="5">
        <v>0.5</v>
      </c>
      <c r="AL250" s="5">
        <v>0.4</v>
      </c>
      <c r="AM250" s="5">
        <v>1.25</v>
      </c>
      <c r="AN250" s="3">
        <v>326</v>
      </c>
      <c r="AO250">
        <v>2</v>
      </c>
      <c r="AP250">
        <v>2</v>
      </c>
      <c r="AQ250" s="5">
        <v>1</v>
      </c>
      <c r="AR250" s="5">
        <v>0.8</v>
      </c>
      <c r="AS250" s="5">
        <v>1.25</v>
      </c>
      <c r="AT250" s="5">
        <v>1</v>
      </c>
    </row>
    <row r="251" spans="1:46" hidden="1">
      <c r="A251" t="str">
        <f>_xlfn.XLOOKUP(Table13[[#This Row],[SAP]],'Location List'!B:B,'Location List'!G:G)</f>
        <v>DFW EAST</v>
      </c>
      <c r="B251" t="str">
        <f>LEFT(Table13[[#This Row],[Sap: Loaction]],4)</f>
        <v>0118</v>
      </c>
      <c r="C251" s="4" t="str">
        <f>_xlfn.XLOOKUP(Table13[[#This Row],[Employee]],'Location List'!M:M,'Location List'!N:N,"",0)</f>
        <v>RSM</v>
      </c>
      <c r="D251" t="s">
        <v>973</v>
      </c>
      <c r="E251" t="s">
        <v>771</v>
      </c>
      <c r="F251" t="s">
        <v>531</v>
      </c>
      <c r="G251" s="3">
        <v>4</v>
      </c>
      <c r="H251" s="3">
        <v>928</v>
      </c>
      <c r="I251">
        <v>652.54999999999995</v>
      </c>
      <c r="J251" t="s">
        <v>454</v>
      </c>
      <c r="K251" s="6">
        <v>3.56</v>
      </c>
      <c r="L251" s="6">
        <v>40</v>
      </c>
      <c r="M251" s="5">
        <v>8.8999999999999996E-2</v>
      </c>
      <c r="N251" s="3">
        <v>1135</v>
      </c>
      <c r="O251" s="10">
        <v>7</v>
      </c>
      <c r="P251" s="10">
        <v>48</v>
      </c>
      <c r="Q251" s="5">
        <v>0.14583333333333334</v>
      </c>
      <c r="R251" s="5">
        <v>0.19</v>
      </c>
      <c r="S251" s="5">
        <v>0.76754199999999995</v>
      </c>
      <c r="T251" s="3">
        <v>704</v>
      </c>
      <c r="U251" s="10">
        <v>1</v>
      </c>
      <c r="V251" s="10">
        <v>48</v>
      </c>
      <c r="W251" s="5">
        <v>2.0833333333333332E-2</v>
      </c>
      <c r="X251" s="5">
        <v>0.05</v>
      </c>
      <c r="Y251" s="5">
        <v>0.41665999999999997</v>
      </c>
      <c r="Z251" s="3">
        <v>635</v>
      </c>
      <c r="AA251" s="11">
        <v>1.8333330000000001</v>
      </c>
      <c r="AB251" s="3">
        <v>298</v>
      </c>
      <c r="AC251">
        <v>9.8000000000000007</v>
      </c>
      <c r="AD251" s="3">
        <v>6</v>
      </c>
      <c r="AE251">
        <v>0</v>
      </c>
      <c r="AF251">
        <v>9</v>
      </c>
      <c r="AG251" s="5">
        <v>0</v>
      </c>
      <c r="AH251" s="5">
        <v>0.1</v>
      </c>
      <c r="AI251" s="5">
        <v>0</v>
      </c>
      <c r="AJ251" s="3">
        <v>696</v>
      </c>
      <c r="AK251" s="5">
        <v>0.41666666666666669</v>
      </c>
      <c r="AL251" s="5">
        <v>0.4</v>
      </c>
      <c r="AM251" s="5">
        <v>1.0416650000000001</v>
      </c>
      <c r="AN251" s="3">
        <v>530</v>
      </c>
      <c r="AQ251" s="5"/>
      <c r="AR251" s="5">
        <v>0.8</v>
      </c>
      <c r="AS251" s="5">
        <v>0</v>
      </c>
      <c r="AT251" s="5">
        <v>902</v>
      </c>
    </row>
    <row r="252" spans="1:46" hidden="1">
      <c r="A252" t="str">
        <f>_xlfn.XLOOKUP(Table13[[#This Row],[SAP]],'Location List'!B:B,'Location List'!G:G)</f>
        <v>DFW EAST</v>
      </c>
      <c r="B252" t="str">
        <f>LEFT(Table13[[#This Row],[Sap: Loaction]],4)</f>
        <v>5784</v>
      </c>
      <c r="C252" s="4" t="str">
        <f>_xlfn.XLOOKUP(Table13[[#This Row],[Employee]],'Location List'!M:M,'Location List'!N:N,"",0)</f>
        <v/>
      </c>
      <c r="D252" t="s">
        <v>973</v>
      </c>
      <c r="E252" t="s">
        <v>740</v>
      </c>
      <c r="F252" t="s">
        <v>541</v>
      </c>
      <c r="G252" s="3">
        <v>4</v>
      </c>
      <c r="H252" s="3">
        <v>929</v>
      </c>
      <c r="I252">
        <v>652.9</v>
      </c>
      <c r="J252" t="s">
        <v>454</v>
      </c>
      <c r="K252" s="6">
        <v>21.89</v>
      </c>
      <c r="L252" s="6">
        <v>40</v>
      </c>
      <c r="M252" s="5">
        <v>0.54725000000000001</v>
      </c>
      <c r="N252" s="3">
        <v>820</v>
      </c>
      <c r="O252" s="10">
        <v>9</v>
      </c>
      <c r="P252" s="10">
        <v>99</v>
      </c>
      <c r="Q252" s="5">
        <v>9.0909090909090912E-2</v>
      </c>
      <c r="R252" s="5">
        <v>0.19</v>
      </c>
      <c r="S252" s="5">
        <v>0.478468</v>
      </c>
      <c r="T252" s="3">
        <v>1035</v>
      </c>
      <c r="U252" s="10">
        <v>3</v>
      </c>
      <c r="V252" s="10">
        <v>99</v>
      </c>
      <c r="W252" s="5">
        <v>3.0303030303030304E-2</v>
      </c>
      <c r="X252" s="5">
        <v>0.05</v>
      </c>
      <c r="Y252" s="5">
        <v>0.60606000000000004</v>
      </c>
      <c r="Z252" s="3">
        <v>442</v>
      </c>
      <c r="AA252" s="11">
        <v>1.928571</v>
      </c>
      <c r="AB252" s="3">
        <v>281</v>
      </c>
      <c r="AC252">
        <v>10</v>
      </c>
      <c r="AD252" s="3">
        <v>1</v>
      </c>
      <c r="AE252">
        <v>0</v>
      </c>
      <c r="AF252">
        <v>13</v>
      </c>
      <c r="AG252" s="5">
        <v>0</v>
      </c>
      <c r="AH252" s="5">
        <v>0.1</v>
      </c>
      <c r="AI252" s="5">
        <v>0</v>
      </c>
      <c r="AJ252" s="3">
        <v>696</v>
      </c>
      <c r="AK252" s="5">
        <v>0.33333333333333331</v>
      </c>
      <c r="AL252" s="5">
        <v>0.4</v>
      </c>
      <c r="AM252" s="5">
        <v>0.83333199999999996</v>
      </c>
      <c r="AN252" s="3">
        <v>631</v>
      </c>
      <c r="AO252">
        <v>1</v>
      </c>
      <c r="AP252">
        <v>3</v>
      </c>
      <c r="AQ252" s="5">
        <v>0.33333333333333331</v>
      </c>
      <c r="AR252" s="5">
        <v>0.8</v>
      </c>
      <c r="AS252" s="5">
        <v>0.41666599999999998</v>
      </c>
      <c r="AT252" s="5">
        <v>830</v>
      </c>
    </row>
    <row r="253" spans="1:46" hidden="1">
      <c r="A253" t="str">
        <f>_xlfn.XLOOKUP(Table13[[#This Row],[SAP]],'Location List'!B:B,'Location List'!G:G)</f>
        <v>SA/HILL COUNTRY</v>
      </c>
      <c r="B253" t="str">
        <f>LEFT(Table13[[#This Row],[Sap: Loaction]],4)</f>
        <v>569D</v>
      </c>
      <c r="C253" s="4" t="str">
        <f>_xlfn.XLOOKUP(Table13[[#This Row],[Employee]],'Location List'!M:M,'Location List'!N:N,"",0)</f>
        <v>RSM</v>
      </c>
      <c r="D253" t="s">
        <v>973</v>
      </c>
      <c r="E253" t="s">
        <v>737</v>
      </c>
      <c r="F253" t="s">
        <v>513</v>
      </c>
      <c r="G253" s="3">
        <v>4</v>
      </c>
      <c r="H253" s="3">
        <v>930</v>
      </c>
      <c r="I253">
        <v>653.54999999999995</v>
      </c>
      <c r="J253" t="s">
        <v>454</v>
      </c>
      <c r="K253" s="6">
        <v>19.34</v>
      </c>
      <c r="L253" s="6">
        <v>35</v>
      </c>
      <c r="M253" s="5">
        <v>0.5525714285714286</v>
      </c>
      <c r="N253" s="3">
        <v>816</v>
      </c>
      <c r="O253" s="10">
        <v>0</v>
      </c>
      <c r="P253" s="10">
        <v>29</v>
      </c>
      <c r="Q253" s="5">
        <v>0</v>
      </c>
      <c r="R253" s="5">
        <v>0.19</v>
      </c>
      <c r="S253" s="5">
        <v>0</v>
      </c>
      <c r="T253" s="3">
        <v>1332</v>
      </c>
      <c r="U253" s="10">
        <v>2</v>
      </c>
      <c r="V253" s="10">
        <v>29</v>
      </c>
      <c r="W253" s="5">
        <v>6.8965517241379309E-2</v>
      </c>
      <c r="X253" s="5">
        <v>0.05</v>
      </c>
      <c r="Y253" s="5">
        <v>1.3793</v>
      </c>
      <c r="Z253" s="3">
        <v>93</v>
      </c>
      <c r="AA253" s="11">
        <v>0.5</v>
      </c>
      <c r="AB253" s="3">
        <v>1172</v>
      </c>
      <c r="AC253">
        <v>10</v>
      </c>
      <c r="AD253" s="3">
        <v>1</v>
      </c>
      <c r="AE253">
        <v>2</v>
      </c>
      <c r="AF253">
        <v>12</v>
      </c>
      <c r="AG253" s="5">
        <v>0.16666666666666666</v>
      </c>
      <c r="AH253" s="5">
        <v>0.1</v>
      </c>
      <c r="AI253" s="5">
        <v>1.66666</v>
      </c>
      <c r="AJ253" s="3">
        <v>319</v>
      </c>
      <c r="AK253" s="5">
        <v>1</v>
      </c>
      <c r="AL253" s="5">
        <v>0.4</v>
      </c>
      <c r="AM253" s="5">
        <v>2.5</v>
      </c>
      <c r="AN253" s="3">
        <v>1</v>
      </c>
      <c r="AO253">
        <v>0</v>
      </c>
      <c r="AP253">
        <v>0</v>
      </c>
      <c r="AQ253" s="5" t="s">
        <v>653</v>
      </c>
      <c r="AR253" s="5">
        <v>0.8</v>
      </c>
      <c r="AS253" s="5">
        <v>0</v>
      </c>
      <c r="AT253" s="5">
        <v>902</v>
      </c>
    </row>
    <row r="254" spans="1:46" hidden="1">
      <c r="A254" t="str">
        <f>_xlfn.XLOOKUP(Table13[[#This Row],[SAP]],'Location List'!B:B,'Location List'!G:G)</f>
        <v>DFW EAST</v>
      </c>
      <c r="B254" t="str">
        <f>LEFT(Table13[[#This Row],[Sap: Loaction]],4)</f>
        <v>2536</v>
      </c>
      <c r="C254" s="4" t="str">
        <f>_xlfn.XLOOKUP(Table13[[#This Row],[Employee]],'Location List'!M:M,'Location List'!N:N,"",0)</f>
        <v/>
      </c>
      <c r="D254" t="s">
        <v>973</v>
      </c>
      <c r="E254" t="s">
        <v>849</v>
      </c>
      <c r="F254" t="s">
        <v>532</v>
      </c>
      <c r="G254" s="3">
        <v>4</v>
      </c>
      <c r="H254" s="3">
        <v>936</v>
      </c>
      <c r="I254">
        <v>655.65</v>
      </c>
      <c r="J254" t="s">
        <v>454</v>
      </c>
      <c r="K254" s="6">
        <v>7.7</v>
      </c>
      <c r="L254" s="6">
        <v>40</v>
      </c>
      <c r="M254" s="5">
        <v>0.1925</v>
      </c>
      <c r="N254" s="3">
        <v>1071</v>
      </c>
      <c r="O254" s="10">
        <v>10</v>
      </c>
      <c r="P254" s="10">
        <v>103</v>
      </c>
      <c r="Q254" s="5">
        <v>9.7087378640776698E-2</v>
      </c>
      <c r="R254" s="5">
        <v>0.19</v>
      </c>
      <c r="S254" s="5">
        <v>0.51098399999999999</v>
      </c>
      <c r="T254" s="3">
        <v>1006</v>
      </c>
      <c r="U254" s="10">
        <v>1</v>
      </c>
      <c r="V254" s="10">
        <v>103</v>
      </c>
      <c r="W254" s="5">
        <v>9.7087378640776691E-3</v>
      </c>
      <c r="X254" s="5">
        <v>0.05</v>
      </c>
      <c r="Y254" s="5">
        <v>0.19416</v>
      </c>
      <c r="Z254" s="3">
        <v>938</v>
      </c>
      <c r="AA254" s="11">
        <v>1</v>
      </c>
      <c r="AB254" s="3">
        <v>741</v>
      </c>
      <c r="AC254">
        <v>0</v>
      </c>
      <c r="AD254" s="3">
        <v>75</v>
      </c>
      <c r="AE254">
        <v>9</v>
      </c>
      <c r="AF254">
        <v>14</v>
      </c>
      <c r="AG254" s="5">
        <v>0.6428571428571429</v>
      </c>
      <c r="AH254" s="5">
        <v>0.1</v>
      </c>
      <c r="AI254" s="5">
        <v>6.4285699999999997</v>
      </c>
      <c r="AJ254" s="3">
        <v>22</v>
      </c>
      <c r="AK254" s="5">
        <v>0</v>
      </c>
      <c r="AL254" s="5">
        <v>0.4</v>
      </c>
      <c r="AM254" s="5">
        <v>0</v>
      </c>
      <c r="AN254" s="3">
        <v>1150</v>
      </c>
      <c r="AO254">
        <v>1</v>
      </c>
      <c r="AP254">
        <v>1</v>
      </c>
      <c r="AQ254" s="5">
        <v>1</v>
      </c>
      <c r="AR254" s="5">
        <v>0.8</v>
      </c>
      <c r="AS254" s="5">
        <v>1.25</v>
      </c>
      <c r="AT254" s="5">
        <v>1</v>
      </c>
    </row>
    <row r="255" spans="1:46" hidden="1">
      <c r="A255" t="str">
        <f>_xlfn.XLOOKUP(Table13[[#This Row],[SAP]],'Location List'!B:B,'Location List'!G:G)</f>
        <v>SA SOUTH</v>
      </c>
      <c r="B255" t="str">
        <f>LEFT(Table13[[#This Row],[Sap: Loaction]],4)</f>
        <v>1627</v>
      </c>
      <c r="C255" s="4" t="str">
        <f>_xlfn.XLOOKUP(Table13[[#This Row],[Employee]],'Location List'!M:M,'Location List'!N:N,"",0)</f>
        <v/>
      </c>
      <c r="D255" t="s">
        <v>973</v>
      </c>
      <c r="E255" t="s">
        <v>657</v>
      </c>
      <c r="F255" t="s">
        <v>497</v>
      </c>
      <c r="G255" s="3">
        <v>4</v>
      </c>
      <c r="H255" s="3">
        <v>939</v>
      </c>
      <c r="I255">
        <v>657.3</v>
      </c>
      <c r="J255" t="s">
        <v>454</v>
      </c>
      <c r="K255" s="6">
        <v>33.51</v>
      </c>
      <c r="L255" s="6">
        <v>40</v>
      </c>
      <c r="M255" s="5">
        <v>0.83774999999999999</v>
      </c>
      <c r="N255" s="3">
        <v>612</v>
      </c>
      <c r="O255" s="10">
        <v>11</v>
      </c>
      <c r="P255" s="10">
        <v>112</v>
      </c>
      <c r="Q255" s="5">
        <v>9.8214285714285712E-2</v>
      </c>
      <c r="R255" s="5">
        <v>0.19</v>
      </c>
      <c r="S255" s="5">
        <v>0.51691500000000001</v>
      </c>
      <c r="T255" s="3">
        <v>1002</v>
      </c>
      <c r="U255" s="10">
        <v>3</v>
      </c>
      <c r="V255" s="10">
        <v>112</v>
      </c>
      <c r="W255" s="5">
        <v>2.6785714285714284E-2</v>
      </c>
      <c r="X255" s="5">
        <v>0.05</v>
      </c>
      <c r="Y255" s="5">
        <v>0.53569999999999995</v>
      </c>
      <c r="Z255" s="3">
        <v>505</v>
      </c>
      <c r="AA255" s="11">
        <v>1.8</v>
      </c>
      <c r="AB255" s="3">
        <v>313</v>
      </c>
      <c r="AC255">
        <v>10</v>
      </c>
      <c r="AD255" s="3">
        <v>1</v>
      </c>
      <c r="AE255">
        <v>0</v>
      </c>
      <c r="AF255">
        <v>8</v>
      </c>
      <c r="AG255" s="5">
        <v>0</v>
      </c>
      <c r="AH255" s="5">
        <v>0.1</v>
      </c>
      <c r="AI255" s="5">
        <v>0</v>
      </c>
      <c r="AJ255" s="3">
        <v>696</v>
      </c>
      <c r="AK255" s="5">
        <v>6.6666666666666666E-2</v>
      </c>
      <c r="AL255" s="5">
        <v>0.4</v>
      </c>
      <c r="AM255" s="5">
        <v>0.16666500000000001</v>
      </c>
      <c r="AN255" s="3">
        <v>1117</v>
      </c>
      <c r="AO255">
        <v>5</v>
      </c>
      <c r="AP255">
        <v>7</v>
      </c>
      <c r="AQ255" s="5">
        <v>0.7142857142857143</v>
      </c>
      <c r="AR255" s="5">
        <v>0.8</v>
      </c>
      <c r="AS255" s="5">
        <v>0.89285599999999998</v>
      </c>
      <c r="AT255" s="5">
        <v>671</v>
      </c>
    </row>
    <row r="256" spans="1:46" hidden="1">
      <c r="A256" t="str">
        <f>_xlfn.XLOOKUP(Table13[[#This Row],[SAP]],'Location List'!B:B,'Location List'!G:G)</f>
        <v>SA SOUTH</v>
      </c>
      <c r="B256" t="str">
        <f>LEFT(Table13[[#This Row],[Sap: Loaction]],4)</f>
        <v>4723</v>
      </c>
      <c r="C256" s="4" t="str">
        <f>_xlfn.XLOOKUP(Table13[[#This Row],[Employee]],'Location List'!M:M,'Location List'!N:N,"",0)</f>
        <v/>
      </c>
      <c r="D256" t="s">
        <v>973</v>
      </c>
      <c r="E256" t="s">
        <v>792</v>
      </c>
      <c r="F256" t="s">
        <v>534</v>
      </c>
      <c r="G256" s="3">
        <v>4</v>
      </c>
      <c r="H256" s="3">
        <v>945</v>
      </c>
      <c r="I256">
        <v>658.8</v>
      </c>
      <c r="J256" t="s">
        <v>454</v>
      </c>
      <c r="K256" s="6">
        <v>12.33</v>
      </c>
      <c r="L256" s="6">
        <v>40</v>
      </c>
      <c r="M256" s="5">
        <v>0.30825000000000002</v>
      </c>
      <c r="N256" s="3">
        <v>990</v>
      </c>
      <c r="O256" s="10">
        <v>9</v>
      </c>
      <c r="P256" s="10">
        <v>109</v>
      </c>
      <c r="Q256" s="5">
        <v>8.2568807339449546E-2</v>
      </c>
      <c r="R256" s="5">
        <v>0.19</v>
      </c>
      <c r="S256" s="5">
        <v>0.43456800000000001</v>
      </c>
      <c r="T256" s="3">
        <v>1094</v>
      </c>
      <c r="U256" s="10">
        <v>2</v>
      </c>
      <c r="V256" s="10">
        <v>109</v>
      </c>
      <c r="W256" s="5">
        <v>1.834862385321101E-2</v>
      </c>
      <c r="X256" s="5">
        <v>0.05</v>
      </c>
      <c r="Y256" s="5">
        <v>0.36696000000000001</v>
      </c>
      <c r="Z256" s="3">
        <v>709</v>
      </c>
      <c r="AA256" s="11">
        <v>1.785714</v>
      </c>
      <c r="AB256" s="3">
        <v>318</v>
      </c>
      <c r="AC256">
        <v>10</v>
      </c>
      <c r="AD256" s="3">
        <v>1</v>
      </c>
      <c r="AE256">
        <v>0</v>
      </c>
      <c r="AF256">
        <v>15</v>
      </c>
      <c r="AG256" s="5">
        <v>0</v>
      </c>
      <c r="AH256" s="5">
        <v>0.1</v>
      </c>
      <c r="AI256" s="5">
        <v>0</v>
      </c>
      <c r="AJ256" s="3">
        <v>696</v>
      </c>
      <c r="AK256" s="5">
        <v>0.77777750000000001</v>
      </c>
      <c r="AL256" s="5">
        <v>0.4</v>
      </c>
      <c r="AM256" s="5">
        <v>1.944442</v>
      </c>
      <c r="AN256" s="3">
        <v>130</v>
      </c>
      <c r="AO256">
        <v>3</v>
      </c>
      <c r="AP256">
        <v>5</v>
      </c>
      <c r="AQ256" s="5">
        <v>0.6</v>
      </c>
      <c r="AR256" s="5">
        <v>0.8</v>
      </c>
      <c r="AS256" s="5">
        <v>0.75</v>
      </c>
      <c r="AT256" s="5">
        <v>713</v>
      </c>
    </row>
    <row r="257" spans="1:46" hidden="1">
      <c r="A257" t="str">
        <f>_xlfn.XLOOKUP(Table13[[#This Row],[SAP]],'Location List'!B:B,'Location List'!G:G)</f>
        <v>SA/HILL COUNTRY</v>
      </c>
      <c r="B257" t="str">
        <f>LEFT(Table13[[#This Row],[Sap: Loaction]],4)</f>
        <v>1ESD</v>
      </c>
      <c r="C257" s="4" t="str">
        <f>_xlfn.XLOOKUP(Table13[[#This Row],[Employee]],'Location List'!M:M,'Location List'!N:N,"",0)</f>
        <v/>
      </c>
      <c r="D257" t="s">
        <v>973</v>
      </c>
      <c r="E257" t="s">
        <v>921</v>
      </c>
      <c r="F257" t="s">
        <v>573</v>
      </c>
      <c r="G257" s="3">
        <v>4</v>
      </c>
      <c r="H257" s="3">
        <v>949</v>
      </c>
      <c r="I257">
        <v>659.3</v>
      </c>
      <c r="J257" t="s">
        <v>454</v>
      </c>
      <c r="K257" s="6">
        <v>-4.67</v>
      </c>
      <c r="L257" s="6">
        <v>40</v>
      </c>
      <c r="M257" s="5">
        <v>-0.11675000000000001</v>
      </c>
      <c r="N257" s="3">
        <v>1295</v>
      </c>
      <c r="O257" s="10">
        <v>11</v>
      </c>
      <c r="P257" s="10">
        <v>75</v>
      </c>
      <c r="Q257" s="5">
        <v>0.14666666666666667</v>
      </c>
      <c r="R257" s="5">
        <v>0.19</v>
      </c>
      <c r="S257" s="5">
        <v>0.771926</v>
      </c>
      <c r="T257" s="3">
        <v>701</v>
      </c>
      <c r="U257" s="10">
        <v>3</v>
      </c>
      <c r="V257" s="10">
        <v>75</v>
      </c>
      <c r="W257" s="5">
        <v>0.04</v>
      </c>
      <c r="X257" s="5">
        <v>0.05</v>
      </c>
      <c r="Y257" s="5">
        <v>0.8</v>
      </c>
      <c r="Z257" s="3">
        <v>324</v>
      </c>
      <c r="AA257" s="11">
        <v>1.454545</v>
      </c>
      <c r="AB257" s="3">
        <v>483</v>
      </c>
      <c r="AC257">
        <v>10</v>
      </c>
      <c r="AD257" s="3">
        <v>1</v>
      </c>
      <c r="AE257">
        <v>1</v>
      </c>
      <c r="AF257">
        <v>16</v>
      </c>
      <c r="AG257" s="5">
        <v>6.25E-2</v>
      </c>
      <c r="AH257" s="5">
        <v>0.1</v>
      </c>
      <c r="AI257" s="5">
        <v>0.625</v>
      </c>
      <c r="AJ257" s="3">
        <v>605</v>
      </c>
      <c r="AK257" s="5">
        <v>0.33333299999999999</v>
      </c>
      <c r="AL257" s="5">
        <v>0.4</v>
      </c>
      <c r="AM257" s="5">
        <v>0.83333199999999996</v>
      </c>
      <c r="AN257" s="3">
        <v>631</v>
      </c>
      <c r="AO257">
        <v>0</v>
      </c>
      <c r="AP257">
        <v>5</v>
      </c>
      <c r="AQ257" s="5">
        <v>0</v>
      </c>
      <c r="AR257" s="5">
        <v>0.8</v>
      </c>
      <c r="AS257" s="5">
        <v>0</v>
      </c>
      <c r="AT257" s="5">
        <v>902</v>
      </c>
    </row>
    <row r="258" spans="1:46" hidden="1">
      <c r="A258" t="str">
        <f>_xlfn.XLOOKUP(Table13[[#This Row],[SAP]],'Location List'!B:B,'Location List'!G:G)</f>
        <v>SA SOUTH</v>
      </c>
      <c r="B258" t="str">
        <f>LEFT(Table13[[#This Row],[Sap: Loaction]],4)</f>
        <v>1627</v>
      </c>
      <c r="C258" s="4" t="str">
        <f>_xlfn.XLOOKUP(Table13[[#This Row],[Employee]],'Location List'!M:M,'Location List'!N:N,"",0)</f>
        <v/>
      </c>
      <c r="D258" t="s">
        <v>973</v>
      </c>
      <c r="E258" t="s">
        <v>624</v>
      </c>
      <c r="F258" t="s">
        <v>497</v>
      </c>
      <c r="G258" s="3">
        <v>4</v>
      </c>
      <c r="H258" s="3">
        <v>959</v>
      </c>
      <c r="I258">
        <v>663.2</v>
      </c>
      <c r="J258" t="s">
        <v>454</v>
      </c>
      <c r="K258" s="6">
        <v>11.8</v>
      </c>
      <c r="L258" s="6">
        <v>40.000000000000007</v>
      </c>
      <c r="M258" s="5">
        <v>0.29499999999999998</v>
      </c>
      <c r="N258" s="3">
        <v>998</v>
      </c>
      <c r="O258" s="10">
        <v>6</v>
      </c>
      <c r="P258" s="10">
        <v>48</v>
      </c>
      <c r="Q258" s="5">
        <v>0.125</v>
      </c>
      <c r="R258" s="5">
        <v>0.19</v>
      </c>
      <c r="S258" s="5">
        <v>0.65789399999999998</v>
      </c>
      <c r="T258" s="3">
        <v>832</v>
      </c>
      <c r="U258" s="10">
        <v>6</v>
      </c>
      <c r="V258" s="10">
        <v>48</v>
      </c>
      <c r="W258" s="5">
        <v>0.125</v>
      </c>
      <c r="X258" s="5">
        <v>0.05</v>
      </c>
      <c r="Y258" s="5">
        <v>2.5</v>
      </c>
      <c r="Z258" s="3">
        <v>8</v>
      </c>
      <c r="AA258" s="11">
        <v>1.666666</v>
      </c>
      <c r="AB258" s="3">
        <v>357</v>
      </c>
      <c r="AC258">
        <v>9.6666659999999993</v>
      </c>
      <c r="AD258" s="3">
        <v>10</v>
      </c>
      <c r="AE258">
        <v>0</v>
      </c>
      <c r="AF258">
        <v>0</v>
      </c>
      <c r="AG258" s="5" t="s">
        <v>653</v>
      </c>
      <c r="AH258" s="5">
        <v>0.1</v>
      </c>
      <c r="AI258" s="5">
        <v>0</v>
      </c>
      <c r="AJ258" s="3">
        <v>696</v>
      </c>
      <c r="AK258" s="5">
        <v>0</v>
      </c>
      <c r="AL258" s="5">
        <v>0.4</v>
      </c>
      <c r="AM258" s="5">
        <v>0</v>
      </c>
      <c r="AN258" s="3">
        <v>1150</v>
      </c>
      <c r="AO258">
        <v>0</v>
      </c>
      <c r="AP258">
        <v>1</v>
      </c>
      <c r="AQ258" s="5">
        <v>0</v>
      </c>
      <c r="AR258" s="5">
        <v>0.8</v>
      </c>
      <c r="AS258" s="5">
        <v>0</v>
      </c>
      <c r="AT258" s="5">
        <v>902</v>
      </c>
    </row>
    <row r="259" spans="1:46" hidden="1">
      <c r="A259" t="str">
        <f>_xlfn.XLOOKUP(Table13[[#This Row],[SAP]],'Location List'!B:B,'Location List'!G:G)</f>
        <v>CENTRAL TEXAS</v>
      </c>
      <c r="B259" t="str">
        <f>LEFT(Table13[[#This Row],[Sap: Loaction]],4)</f>
        <v>545D</v>
      </c>
      <c r="C259" s="4" t="str">
        <f>_xlfn.XLOOKUP(Table13[[#This Row],[Employee]],'Location List'!M:M,'Location List'!N:N,"",0)</f>
        <v/>
      </c>
      <c r="D259" t="s">
        <v>973</v>
      </c>
      <c r="E259" t="s">
        <v>649</v>
      </c>
      <c r="F259" t="s">
        <v>496</v>
      </c>
      <c r="G259" s="3">
        <v>4</v>
      </c>
      <c r="H259" s="3">
        <v>964</v>
      </c>
      <c r="I259">
        <v>664.55</v>
      </c>
      <c r="J259" t="s">
        <v>454</v>
      </c>
      <c r="K259" s="6">
        <v>15.85</v>
      </c>
      <c r="L259" s="6">
        <v>35</v>
      </c>
      <c r="M259" s="5">
        <v>0.45285714285714285</v>
      </c>
      <c r="N259" s="3">
        <v>892</v>
      </c>
      <c r="O259" s="10">
        <v>4</v>
      </c>
      <c r="P259" s="10">
        <v>86</v>
      </c>
      <c r="Q259" s="5">
        <v>4.6511627906976744E-2</v>
      </c>
      <c r="R259" s="5">
        <v>0.19</v>
      </c>
      <c r="S259" s="5">
        <v>0.24479400000000001</v>
      </c>
      <c r="T259" s="3">
        <v>1232</v>
      </c>
      <c r="U259" s="10">
        <v>2</v>
      </c>
      <c r="V259" s="10">
        <v>86</v>
      </c>
      <c r="W259" s="5">
        <v>2.3255813953488372E-2</v>
      </c>
      <c r="X259" s="5">
        <v>0.05</v>
      </c>
      <c r="Y259" s="5">
        <v>0.46510000000000001</v>
      </c>
      <c r="Z259" s="3">
        <v>576</v>
      </c>
      <c r="AA259" s="11">
        <v>1.8333330000000001</v>
      </c>
      <c r="AB259" s="3">
        <v>298</v>
      </c>
      <c r="AC259">
        <v>9.5</v>
      </c>
      <c r="AD259" s="3">
        <v>14</v>
      </c>
      <c r="AE259">
        <v>2</v>
      </c>
      <c r="AF259">
        <v>7</v>
      </c>
      <c r="AG259" s="5">
        <v>0.2857142857142857</v>
      </c>
      <c r="AH259" s="5">
        <v>0.1</v>
      </c>
      <c r="AI259" s="5">
        <v>2.8571399999999998</v>
      </c>
      <c r="AJ259" s="3">
        <v>161</v>
      </c>
      <c r="AK259" s="5">
        <v>0.25</v>
      </c>
      <c r="AL259" s="5">
        <v>0.4</v>
      </c>
      <c r="AM259" s="5">
        <v>0.625</v>
      </c>
      <c r="AN259" s="3">
        <v>812</v>
      </c>
      <c r="AO259">
        <v>0</v>
      </c>
      <c r="AP259">
        <v>0</v>
      </c>
      <c r="AQ259" s="5" t="s">
        <v>653</v>
      </c>
      <c r="AR259" s="5">
        <v>0.8</v>
      </c>
      <c r="AS259" s="5">
        <v>0</v>
      </c>
      <c r="AT259" s="5">
        <v>902</v>
      </c>
    </row>
    <row r="260" spans="1:46" hidden="1">
      <c r="A260" t="str">
        <f>_xlfn.XLOOKUP(Table13[[#This Row],[SAP]],'Location List'!B:B,'Location List'!G:G)</f>
        <v>DFW EAST</v>
      </c>
      <c r="B260" t="str">
        <f>LEFT(Table13[[#This Row],[Sap: Loaction]],4)</f>
        <v>0118</v>
      </c>
      <c r="C260" s="4" t="str">
        <f>_xlfn.XLOOKUP(Table13[[#This Row],[Employee]],'Location List'!M:M,'Location List'!N:N,"",0)</f>
        <v/>
      </c>
      <c r="D260" t="s">
        <v>973</v>
      </c>
      <c r="E260" t="s">
        <v>943</v>
      </c>
      <c r="F260" t="s">
        <v>531</v>
      </c>
      <c r="G260" s="3">
        <v>4</v>
      </c>
      <c r="H260" s="3">
        <v>966</v>
      </c>
      <c r="I260">
        <v>665.05</v>
      </c>
      <c r="J260" t="s">
        <v>454</v>
      </c>
      <c r="K260" s="6">
        <v>6.84</v>
      </c>
      <c r="L260" s="6">
        <v>39.999999999999993</v>
      </c>
      <c r="M260" s="5">
        <v>0.17100000000000001</v>
      </c>
      <c r="N260" s="3">
        <v>1087</v>
      </c>
      <c r="O260" s="10">
        <v>17</v>
      </c>
      <c r="P260" s="10">
        <v>57</v>
      </c>
      <c r="Q260" s="5">
        <v>0.2982456140350877</v>
      </c>
      <c r="R260" s="5">
        <v>0.19</v>
      </c>
      <c r="S260" s="5">
        <v>1.5697099999999999</v>
      </c>
      <c r="T260" s="3">
        <v>179</v>
      </c>
      <c r="U260" s="10">
        <v>2</v>
      </c>
      <c r="V260" s="10">
        <v>57</v>
      </c>
      <c r="W260" s="5">
        <v>3.5087719298245612E-2</v>
      </c>
      <c r="X260" s="5">
        <v>0.05</v>
      </c>
      <c r="Y260" s="5">
        <v>0.70174000000000003</v>
      </c>
      <c r="Z260" s="3">
        <v>381</v>
      </c>
      <c r="AA260" s="11">
        <v>0.33333299999999999</v>
      </c>
      <c r="AB260" s="3">
        <v>1283</v>
      </c>
      <c r="AC260">
        <v>10</v>
      </c>
      <c r="AD260" s="3">
        <v>1</v>
      </c>
      <c r="AE260">
        <v>0</v>
      </c>
      <c r="AF260">
        <v>7</v>
      </c>
      <c r="AG260" s="5">
        <v>0</v>
      </c>
      <c r="AH260" s="5">
        <v>0.1</v>
      </c>
      <c r="AI260" s="5">
        <v>0</v>
      </c>
      <c r="AJ260" s="3">
        <v>696</v>
      </c>
      <c r="AK260" s="5">
        <v>0.125</v>
      </c>
      <c r="AL260" s="5">
        <v>0.4</v>
      </c>
      <c r="AM260" s="5">
        <v>0.3125</v>
      </c>
      <c r="AN260" s="3">
        <v>1051</v>
      </c>
      <c r="AQ260" s="5"/>
      <c r="AR260" s="5">
        <v>0.8</v>
      </c>
      <c r="AS260" s="5">
        <v>0</v>
      </c>
      <c r="AT260" s="5">
        <v>902</v>
      </c>
    </row>
    <row r="261" spans="1:46" hidden="1">
      <c r="A261" t="str">
        <f>_xlfn.XLOOKUP(Table13[[#This Row],[SAP]],'Location List'!B:B,'Location List'!G:G)</f>
        <v>SA SOUTH</v>
      </c>
      <c r="B261" t="str">
        <f>LEFT(Table13[[#This Row],[Sap: Loaction]],4)</f>
        <v>1ESF</v>
      </c>
      <c r="C261" s="4" t="str">
        <f>_xlfn.XLOOKUP(Table13[[#This Row],[Employee]],'Location List'!M:M,'Location List'!N:N,"",0)</f>
        <v/>
      </c>
      <c r="D261" t="s">
        <v>973</v>
      </c>
      <c r="E261" t="s">
        <v>898</v>
      </c>
      <c r="F261" t="s">
        <v>568</v>
      </c>
      <c r="G261" s="3">
        <v>4</v>
      </c>
      <c r="H261" s="3">
        <v>970</v>
      </c>
      <c r="I261">
        <v>666.5</v>
      </c>
      <c r="J261" t="s">
        <v>454</v>
      </c>
      <c r="K261" s="6">
        <v>-13.71</v>
      </c>
      <c r="L261" s="6">
        <v>40</v>
      </c>
      <c r="M261" s="5">
        <v>-0.34275</v>
      </c>
      <c r="N261" s="3">
        <v>1363</v>
      </c>
      <c r="O261" s="10">
        <v>2</v>
      </c>
      <c r="P261" s="10">
        <v>96</v>
      </c>
      <c r="Q261" s="5">
        <v>2.0833333333333332E-2</v>
      </c>
      <c r="R261" s="5">
        <v>0.19</v>
      </c>
      <c r="S261" s="5">
        <v>0.10964699999999999</v>
      </c>
      <c r="T261" s="3">
        <v>1309</v>
      </c>
      <c r="U261" s="10">
        <v>1</v>
      </c>
      <c r="V261" s="10">
        <v>96</v>
      </c>
      <c r="W261" s="5">
        <v>1.0416666666666666E-2</v>
      </c>
      <c r="X261" s="5">
        <v>0.05</v>
      </c>
      <c r="Y261" s="5">
        <v>0.20832000000000001</v>
      </c>
      <c r="Z261" s="3">
        <v>923</v>
      </c>
      <c r="AA261" s="11">
        <v>2.6666660000000002</v>
      </c>
      <c r="AB261" s="3">
        <v>114</v>
      </c>
      <c r="AC261">
        <v>10</v>
      </c>
      <c r="AD261" s="3">
        <v>1</v>
      </c>
      <c r="AE261">
        <v>3</v>
      </c>
      <c r="AF261">
        <v>6</v>
      </c>
      <c r="AG261" s="5">
        <v>0.5</v>
      </c>
      <c r="AH261" s="5">
        <v>0.1</v>
      </c>
      <c r="AI261" s="5">
        <v>5</v>
      </c>
      <c r="AJ261" s="3">
        <v>41</v>
      </c>
      <c r="AK261" s="5">
        <v>1</v>
      </c>
      <c r="AL261" s="5">
        <v>0.4</v>
      </c>
      <c r="AM261" s="5">
        <v>2.5</v>
      </c>
      <c r="AN261" s="3">
        <v>1</v>
      </c>
      <c r="AO261">
        <v>0</v>
      </c>
      <c r="AP261">
        <v>0</v>
      </c>
      <c r="AQ261" s="5" t="s">
        <v>653</v>
      </c>
      <c r="AR261" s="5">
        <v>0.8</v>
      </c>
      <c r="AS261" s="5">
        <v>0</v>
      </c>
      <c r="AT261" s="5">
        <v>902</v>
      </c>
    </row>
    <row r="262" spans="1:46" hidden="1">
      <c r="A262" t="str">
        <f>_xlfn.XLOOKUP(Table13[[#This Row],[SAP]],'Location List'!B:B,'Location List'!G:G)</f>
        <v>CENTRAL TEXAS</v>
      </c>
      <c r="B262" t="str">
        <f>LEFT(Table13[[#This Row],[Sap: Loaction]],4)</f>
        <v>1DSG</v>
      </c>
      <c r="C262" s="4" t="str">
        <f>_xlfn.XLOOKUP(Table13[[#This Row],[Employee]],'Location List'!M:M,'Location List'!N:N,"",0)</f>
        <v/>
      </c>
      <c r="D262" t="s">
        <v>973</v>
      </c>
      <c r="E262" t="s">
        <v>902</v>
      </c>
      <c r="F262" t="s">
        <v>565</v>
      </c>
      <c r="G262" s="3">
        <v>4</v>
      </c>
      <c r="H262" s="3">
        <v>971</v>
      </c>
      <c r="I262">
        <v>667.8</v>
      </c>
      <c r="J262" t="s">
        <v>454</v>
      </c>
      <c r="K262" s="6">
        <v>13.67</v>
      </c>
      <c r="L262" s="6">
        <v>30</v>
      </c>
      <c r="M262" s="5">
        <v>0.45566666666666666</v>
      </c>
      <c r="N262" s="3">
        <v>890</v>
      </c>
      <c r="O262" s="10">
        <v>6</v>
      </c>
      <c r="P262" s="10">
        <v>81</v>
      </c>
      <c r="Q262" s="5">
        <v>7.407407407407407E-2</v>
      </c>
      <c r="R262" s="5">
        <v>0.19</v>
      </c>
      <c r="S262" s="5">
        <v>0.38986300000000002</v>
      </c>
      <c r="T262" s="3">
        <v>1129</v>
      </c>
      <c r="U262" s="10">
        <v>2</v>
      </c>
      <c r="V262" s="10">
        <v>81</v>
      </c>
      <c r="W262" s="5">
        <v>2.4691358024691357E-2</v>
      </c>
      <c r="X262" s="5">
        <v>0.05</v>
      </c>
      <c r="Y262" s="5">
        <v>0.49381999999999998</v>
      </c>
      <c r="Z262" s="3">
        <v>546</v>
      </c>
      <c r="AA262" s="11">
        <v>0.33333299999999999</v>
      </c>
      <c r="AB262" s="3">
        <v>1283</v>
      </c>
      <c r="AC262">
        <v>0</v>
      </c>
      <c r="AD262" s="3">
        <v>75</v>
      </c>
      <c r="AE262">
        <v>0</v>
      </c>
      <c r="AF262">
        <v>7</v>
      </c>
      <c r="AG262" s="5">
        <v>0</v>
      </c>
      <c r="AH262" s="5">
        <v>0.1</v>
      </c>
      <c r="AI262" s="5">
        <v>0</v>
      </c>
      <c r="AJ262" s="3">
        <v>696</v>
      </c>
      <c r="AK262" s="5">
        <v>0.75</v>
      </c>
      <c r="AL262" s="5">
        <v>0.4</v>
      </c>
      <c r="AM262" s="5">
        <v>1.875</v>
      </c>
      <c r="AN262" s="3">
        <v>136</v>
      </c>
      <c r="AO262">
        <v>1</v>
      </c>
      <c r="AP262">
        <v>1</v>
      </c>
      <c r="AQ262" s="5">
        <v>1</v>
      </c>
      <c r="AR262" s="5">
        <v>0.8</v>
      </c>
      <c r="AS262" s="5">
        <v>1.25</v>
      </c>
      <c r="AT262" s="5">
        <v>1</v>
      </c>
    </row>
    <row r="263" spans="1:46" hidden="1">
      <c r="A263" t="str">
        <f>_xlfn.XLOOKUP(Table13[[#This Row],[SAP]],'Location List'!B:B,'Location List'!G:G)</f>
        <v>KS/OK</v>
      </c>
      <c r="B263" t="str">
        <f>LEFT(Table13[[#This Row],[Sap: Loaction]],4)</f>
        <v>857C</v>
      </c>
      <c r="C263" s="4" t="str">
        <f>_xlfn.XLOOKUP(Table13[[#This Row],[Employee]],'Location List'!M:M,'Location List'!N:N,"",0)</f>
        <v/>
      </c>
      <c r="D263" t="s">
        <v>973</v>
      </c>
      <c r="E263" t="s">
        <v>665</v>
      </c>
      <c r="F263" t="s">
        <v>572</v>
      </c>
      <c r="G263" s="3">
        <v>4</v>
      </c>
      <c r="H263" s="3">
        <v>972</v>
      </c>
      <c r="I263">
        <v>669.65</v>
      </c>
      <c r="J263" t="s">
        <v>454</v>
      </c>
      <c r="K263" s="6">
        <v>0.69</v>
      </c>
      <c r="L263" s="6">
        <v>39.999999999999993</v>
      </c>
      <c r="M263" s="5">
        <v>1.7250000000000001E-2</v>
      </c>
      <c r="N263" s="3">
        <v>1193</v>
      </c>
      <c r="O263" s="10">
        <v>11</v>
      </c>
      <c r="P263" s="10">
        <v>81</v>
      </c>
      <c r="Q263" s="5">
        <v>0.13580246913580246</v>
      </c>
      <c r="R263" s="5">
        <v>0.19</v>
      </c>
      <c r="S263" s="5">
        <v>0.71474700000000002</v>
      </c>
      <c r="T263" s="3">
        <v>771</v>
      </c>
      <c r="U263" s="10">
        <v>4</v>
      </c>
      <c r="V263" s="10">
        <v>81</v>
      </c>
      <c r="W263" s="5">
        <v>4.9382716049382713E-2</v>
      </c>
      <c r="X263" s="5">
        <v>0.05</v>
      </c>
      <c r="Y263" s="5">
        <v>0.98763999999999996</v>
      </c>
      <c r="Z263" s="3">
        <v>226</v>
      </c>
      <c r="AA263" s="11">
        <v>1.666666</v>
      </c>
      <c r="AB263" s="3">
        <v>357</v>
      </c>
      <c r="AC263">
        <v>10</v>
      </c>
      <c r="AD263" s="3">
        <v>1</v>
      </c>
      <c r="AE263">
        <v>2</v>
      </c>
      <c r="AF263">
        <v>20</v>
      </c>
      <c r="AG263" s="5">
        <v>0.1</v>
      </c>
      <c r="AH263" s="5">
        <v>0.1</v>
      </c>
      <c r="AI263" s="5">
        <v>1</v>
      </c>
      <c r="AJ263" s="3">
        <v>486</v>
      </c>
      <c r="AK263" s="5">
        <v>0</v>
      </c>
      <c r="AL263" s="5">
        <v>0.4</v>
      </c>
      <c r="AM263" s="5">
        <v>0</v>
      </c>
      <c r="AN263" s="3">
        <v>1150</v>
      </c>
      <c r="AO263">
        <v>0</v>
      </c>
      <c r="AP263">
        <v>0</v>
      </c>
      <c r="AQ263" s="5" t="s">
        <v>653</v>
      </c>
      <c r="AR263" s="5">
        <v>0.8</v>
      </c>
      <c r="AS263" s="5">
        <v>0</v>
      </c>
      <c r="AT263" s="5">
        <v>902</v>
      </c>
    </row>
    <row r="264" spans="1:46" hidden="1">
      <c r="A264" t="str">
        <f>_xlfn.XLOOKUP(Table13[[#This Row],[SAP]],'Location List'!B:B,'Location List'!G:G)</f>
        <v>MO/IA/NE</v>
      </c>
      <c r="B264" t="str">
        <f>LEFT(Table13[[#This Row],[Sap: Loaction]],4)</f>
        <v>4ASA</v>
      </c>
      <c r="C264" s="4" t="str">
        <f>_xlfn.XLOOKUP(Table13[[#This Row],[Employee]],'Location List'!M:M,'Location List'!N:N,"",0)</f>
        <v>RSM</v>
      </c>
      <c r="D264" t="s">
        <v>973</v>
      </c>
      <c r="E264" t="s">
        <v>929</v>
      </c>
      <c r="F264" t="s">
        <v>550</v>
      </c>
      <c r="G264" s="3">
        <v>4</v>
      </c>
      <c r="H264" s="3">
        <v>979</v>
      </c>
      <c r="I264">
        <v>674.1</v>
      </c>
      <c r="J264" t="s">
        <v>454</v>
      </c>
      <c r="K264" s="6">
        <v>20.12</v>
      </c>
      <c r="L264" s="6">
        <v>40</v>
      </c>
      <c r="M264" s="5">
        <v>0.503</v>
      </c>
      <c r="N264" s="3">
        <v>853</v>
      </c>
      <c r="O264" s="10">
        <v>7</v>
      </c>
      <c r="P264" s="10">
        <v>221</v>
      </c>
      <c r="Q264" s="5">
        <v>3.1674208144796379E-2</v>
      </c>
      <c r="R264" s="5">
        <v>0.19</v>
      </c>
      <c r="S264" s="5">
        <v>0.16670499999999999</v>
      </c>
      <c r="T264" s="3">
        <v>1283</v>
      </c>
      <c r="U264" s="10">
        <v>7</v>
      </c>
      <c r="V264" s="10">
        <v>221</v>
      </c>
      <c r="W264" s="5">
        <v>3.1674208144796379E-2</v>
      </c>
      <c r="X264" s="5">
        <v>0.05</v>
      </c>
      <c r="Y264" s="5">
        <v>0.63348000000000004</v>
      </c>
      <c r="Z264" s="3">
        <v>426</v>
      </c>
      <c r="AA264" s="11">
        <v>1.2</v>
      </c>
      <c r="AB264" s="3">
        <v>641</v>
      </c>
      <c r="AC264">
        <v>8.4285709999999998</v>
      </c>
      <c r="AD264" s="3">
        <v>30</v>
      </c>
      <c r="AE264">
        <v>2</v>
      </c>
      <c r="AF264">
        <v>17</v>
      </c>
      <c r="AG264" s="5">
        <v>0.11764705882352941</v>
      </c>
      <c r="AH264" s="5">
        <v>0.1</v>
      </c>
      <c r="AI264" s="5">
        <v>1.1764699999999999</v>
      </c>
      <c r="AJ264" s="3">
        <v>433</v>
      </c>
      <c r="AK264" s="5">
        <v>0.50302999999999998</v>
      </c>
      <c r="AL264" s="5">
        <v>0.4</v>
      </c>
      <c r="AM264" s="5">
        <v>1.2575750000000001</v>
      </c>
      <c r="AN264" s="3">
        <v>324</v>
      </c>
      <c r="AO264">
        <v>3</v>
      </c>
      <c r="AP264">
        <v>8</v>
      </c>
      <c r="AQ264" s="5">
        <v>0.375</v>
      </c>
      <c r="AR264" s="5">
        <v>0.8</v>
      </c>
      <c r="AS264" s="5">
        <v>0.46875</v>
      </c>
      <c r="AT264" s="5">
        <v>825</v>
      </c>
    </row>
    <row r="265" spans="1:46" hidden="1">
      <c r="A265" t="str">
        <f>_xlfn.XLOOKUP(Table13[[#This Row],[SAP]],'Location List'!B:B,'Location List'!G:G)</f>
        <v>DFW NORTH</v>
      </c>
      <c r="B265" t="str">
        <f>LEFT(Table13[[#This Row],[Sap: Loaction]],4)</f>
        <v>1BSE</v>
      </c>
      <c r="C265" s="4" t="str">
        <f>_xlfn.XLOOKUP(Table13[[#This Row],[Employee]],'Location List'!M:M,'Location List'!N:N,"",0)</f>
        <v/>
      </c>
      <c r="D265" t="s">
        <v>973</v>
      </c>
      <c r="E265" t="s">
        <v>742</v>
      </c>
      <c r="F265" t="s">
        <v>545</v>
      </c>
      <c r="G265" s="3">
        <v>4</v>
      </c>
      <c r="H265" s="3">
        <v>980</v>
      </c>
      <c r="I265">
        <v>674.3</v>
      </c>
      <c r="J265" t="s">
        <v>454</v>
      </c>
      <c r="K265" s="6">
        <v>17.86</v>
      </c>
      <c r="L265" s="6">
        <v>40</v>
      </c>
      <c r="M265" s="5">
        <v>0.44650000000000001</v>
      </c>
      <c r="N265" s="3">
        <v>900</v>
      </c>
      <c r="O265" s="10">
        <v>4</v>
      </c>
      <c r="P265" s="10">
        <v>34</v>
      </c>
      <c r="Q265" s="5">
        <v>0.11764705882352941</v>
      </c>
      <c r="R265" s="5">
        <v>0.19</v>
      </c>
      <c r="S265" s="5">
        <v>0.61919400000000002</v>
      </c>
      <c r="T265" s="3">
        <v>874</v>
      </c>
      <c r="U265" s="10">
        <v>3</v>
      </c>
      <c r="V265" s="10">
        <v>34</v>
      </c>
      <c r="W265" s="5">
        <v>8.8235294117647065E-2</v>
      </c>
      <c r="X265" s="5">
        <v>0.05</v>
      </c>
      <c r="Y265" s="5">
        <v>1.7646999999999999</v>
      </c>
      <c r="Z265" s="3">
        <v>39</v>
      </c>
      <c r="AA265" s="11">
        <v>0.71428499999999995</v>
      </c>
      <c r="AB265" s="3">
        <v>1028</v>
      </c>
      <c r="AC265">
        <v>10</v>
      </c>
      <c r="AD265" s="3">
        <v>1</v>
      </c>
      <c r="AE265">
        <v>0</v>
      </c>
      <c r="AF265">
        <v>10</v>
      </c>
      <c r="AG265" s="5">
        <v>0</v>
      </c>
      <c r="AH265" s="5">
        <v>0.1</v>
      </c>
      <c r="AI265" s="5">
        <v>0</v>
      </c>
      <c r="AJ265" s="3">
        <v>696</v>
      </c>
      <c r="AK265" s="5">
        <v>0.33333333333333331</v>
      </c>
      <c r="AL265" s="5">
        <v>0.4</v>
      </c>
      <c r="AM265" s="5">
        <v>0.83333199999999996</v>
      </c>
      <c r="AN265" s="3">
        <v>631</v>
      </c>
      <c r="AO265">
        <v>0</v>
      </c>
      <c r="AP265">
        <v>0</v>
      </c>
      <c r="AQ265" s="5" t="s">
        <v>653</v>
      </c>
      <c r="AR265" s="5">
        <v>0.8</v>
      </c>
      <c r="AS265" s="5">
        <v>0</v>
      </c>
      <c r="AT265" s="5">
        <v>902</v>
      </c>
    </row>
    <row r="266" spans="1:46" hidden="1">
      <c r="A266" t="str">
        <f>_xlfn.XLOOKUP(Table13[[#This Row],[SAP]],'Location List'!B:B,'Location List'!G:G)</f>
        <v>DFW EAST</v>
      </c>
      <c r="B266" t="str">
        <f>LEFT(Table13[[#This Row],[Sap: Loaction]],4)</f>
        <v>1357</v>
      </c>
      <c r="C266" s="4" t="str">
        <f>_xlfn.XLOOKUP(Table13[[#This Row],[Employee]],'Location List'!M:M,'Location List'!N:N,"",0)</f>
        <v>RSM</v>
      </c>
      <c r="D266" t="s">
        <v>973</v>
      </c>
      <c r="E266" t="s">
        <v>952</v>
      </c>
      <c r="F266" t="s">
        <v>549</v>
      </c>
      <c r="G266" s="3">
        <v>4</v>
      </c>
      <c r="H266" s="3">
        <v>987</v>
      </c>
      <c r="I266">
        <v>677.4</v>
      </c>
      <c r="J266" t="s">
        <v>454</v>
      </c>
      <c r="K266" s="6">
        <v>13.06</v>
      </c>
      <c r="L266" s="6">
        <v>40</v>
      </c>
      <c r="M266" s="5">
        <v>0.32650000000000001</v>
      </c>
      <c r="N266" s="3">
        <v>971</v>
      </c>
      <c r="O266" s="10">
        <v>9</v>
      </c>
      <c r="P266" s="10">
        <v>95</v>
      </c>
      <c r="Q266" s="5">
        <v>9.4736842105263161E-2</v>
      </c>
      <c r="R266" s="5">
        <v>0.19</v>
      </c>
      <c r="S266" s="5">
        <v>0.49861</v>
      </c>
      <c r="T266" s="3">
        <v>1013</v>
      </c>
      <c r="U266" s="10">
        <v>1</v>
      </c>
      <c r="V266" s="10">
        <v>95</v>
      </c>
      <c r="W266" s="5">
        <v>1.0526315789473684E-2</v>
      </c>
      <c r="X266" s="5">
        <v>0.05</v>
      </c>
      <c r="Y266" s="5">
        <v>0.21052000000000001</v>
      </c>
      <c r="Z266" s="3">
        <v>921</v>
      </c>
      <c r="AA266" s="11">
        <v>0.83333299999999999</v>
      </c>
      <c r="AB266" s="3">
        <v>924</v>
      </c>
      <c r="AC266">
        <v>10</v>
      </c>
      <c r="AD266" s="3">
        <v>1</v>
      </c>
      <c r="AE266">
        <v>1</v>
      </c>
      <c r="AF266">
        <v>17</v>
      </c>
      <c r="AG266" s="5">
        <v>5.8823529411764705E-2</v>
      </c>
      <c r="AH266" s="5">
        <v>0.1</v>
      </c>
      <c r="AI266" s="5">
        <v>0.58823000000000003</v>
      </c>
      <c r="AJ266" s="3">
        <v>613</v>
      </c>
      <c r="AK266" s="5">
        <v>0.42857133333333336</v>
      </c>
      <c r="AL266" s="5">
        <v>0.4</v>
      </c>
      <c r="AM266" s="5">
        <v>1.0714269999999999</v>
      </c>
      <c r="AN266" s="3">
        <v>525</v>
      </c>
      <c r="AO266">
        <v>3</v>
      </c>
      <c r="AP266">
        <v>3</v>
      </c>
      <c r="AQ266" s="5">
        <v>1</v>
      </c>
      <c r="AR266" s="5">
        <v>0.8</v>
      </c>
      <c r="AS266" s="5">
        <v>1.25</v>
      </c>
      <c r="AT266" s="5">
        <v>1</v>
      </c>
    </row>
    <row r="267" spans="1:46">
      <c r="A267" t="str">
        <f>_xlfn.XLOOKUP(Table13[[#This Row],[SAP]],'Location List'!B:B,'Location List'!G:G)</f>
        <v>KS/OK</v>
      </c>
      <c r="B267" t="str">
        <f>LEFT(Table13[[#This Row],[Sap: Loaction]],4)</f>
        <v>857C</v>
      </c>
      <c r="C267" s="4" t="str">
        <f>_xlfn.XLOOKUP(Table13[[#This Row],[Employee]],'Location List'!M:M,'Location List'!N:N,"",0)</f>
        <v>RSM</v>
      </c>
      <c r="D267" t="s">
        <v>973</v>
      </c>
      <c r="E267" t="s">
        <v>965</v>
      </c>
      <c r="F267" t="s">
        <v>572</v>
      </c>
      <c r="G267" s="3">
        <v>4</v>
      </c>
      <c r="H267" s="3">
        <v>990</v>
      </c>
      <c r="I267">
        <v>678.85</v>
      </c>
      <c r="J267" t="s">
        <v>454</v>
      </c>
      <c r="K267" s="6">
        <v>6.76</v>
      </c>
      <c r="L267" s="6">
        <v>39.999999999999993</v>
      </c>
      <c r="M267" s="5">
        <v>0.16900000000000001</v>
      </c>
      <c r="N267" s="3">
        <v>1088</v>
      </c>
      <c r="O267" s="10">
        <v>12</v>
      </c>
      <c r="P267" s="10">
        <v>87</v>
      </c>
      <c r="Q267" s="5">
        <v>0.13793103448275862</v>
      </c>
      <c r="R267" s="5">
        <v>0.19</v>
      </c>
      <c r="S267" s="5">
        <v>0.72595200000000004</v>
      </c>
      <c r="T267" s="3">
        <v>760</v>
      </c>
      <c r="U267" s="10">
        <v>1</v>
      </c>
      <c r="V267" s="10">
        <v>87</v>
      </c>
      <c r="W267" s="5">
        <v>1.1494252873563218E-2</v>
      </c>
      <c r="X267" s="5">
        <v>0.05</v>
      </c>
      <c r="Y267" s="5">
        <v>0.22988</v>
      </c>
      <c r="Z267" s="3">
        <v>894</v>
      </c>
      <c r="AA267" s="11">
        <v>2.0833330000000001</v>
      </c>
      <c r="AB267" s="3">
        <v>208</v>
      </c>
      <c r="AC267">
        <v>9</v>
      </c>
      <c r="AD267" s="3">
        <v>22</v>
      </c>
      <c r="AE267">
        <v>1</v>
      </c>
      <c r="AF267">
        <v>22</v>
      </c>
      <c r="AG267" s="5">
        <v>4.5454545454545456E-2</v>
      </c>
      <c r="AH267" s="5">
        <v>0.1</v>
      </c>
      <c r="AI267" s="5">
        <v>0.45454</v>
      </c>
      <c r="AJ267" s="3">
        <v>653</v>
      </c>
      <c r="AK267" s="5">
        <v>0.33333333333333331</v>
      </c>
      <c r="AL267" s="5">
        <v>0.4</v>
      </c>
      <c r="AM267" s="5">
        <v>0.83333199999999996</v>
      </c>
      <c r="AN267" s="3">
        <v>631</v>
      </c>
      <c r="AO267">
        <v>0</v>
      </c>
      <c r="AP267">
        <v>3</v>
      </c>
      <c r="AQ267" s="5">
        <v>0</v>
      </c>
      <c r="AR267" s="5">
        <v>0.8</v>
      </c>
      <c r="AS267" s="5">
        <v>0</v>
      </c>
      <c r="AT267" s="5">
        <v>902</v>
      </c>
    </row>
    <row r="268" spans="1:46" hidden="1">
      <c r="A268" t="str">
        <f>_xlfn.XLOOKUP(Table13[[#This Row],[SAP]],'Location List'!B:B,'Location List'!G:G)</f>
        <v>CENTRAL TEXAS</v>
      </c>
      <c r="B268" t="str">
        <f>LEFT(Table13[[#This Row],[Sap: Loaction]],4)</f>
        <v>1FSC</v>
      </c>
      <c r="C268" s="4" t="str">
        <f>_xlfn.XLOOKUP(Table13[[#This Row],[Employee]],'Location List'!M:M,'Location List'!N:N,"",0)</f>
        <v/>
      </c>
      <c r="D268" t="s">
        <v>973</v>
      </c>
      <c r="E268" t="s">
        <v>801</v>
      </c>
      <c r="F268" t="s">
        <v>524</v>
      </c>
      <c r="G268" s="3">
        <v>4</v>
      </c>
      <c r="H268" s="3">
        <v>991</v>
      </c>
      <c r="I268">
        <v>679.15</v>
      </c>
      <c r="J268" t="s">
        <v>454</v>
      </c>
      <c r="K268" s="6">
        <v>8.7200000000000006</v>
      </c>
      <c r="L268" s="6">
        <v>40</v>
      </c>
      <c r="M268" s="5">
        <v>0.218</v>
      </c>
      <c r="N268" s="3">
        <v>1051</v>
      </c>
      <c r="O268" s="10">
        <v>7</v>
      </c>
      <c r="P268" s="10">
        <v>78</v>
      </c>
      <c r="Q268" s="5">
        <v>8.9743589743589744E-2</v>
      </c>
      <c r="R268" s="5">
        <v>0.19</v>
      </c>
      <c r="S268" s="5">
        <v>0.472331</v>
      </c>
      <c r="T268" s="3">
        <v>1047</v>
      </c>
      <c r="U268" s="10">
        <v>4</v>
      </c>
      <c r="V268" s="10">
        <v>78</v>
      </c>
      <c r="W268" s="5">
        <v>5.128205128205128E-2</v>
      </c>
      <c r="X268" s="5">
        <v>0.05</v>
      </c>
      <c r="Y268" s="5">
        <v>1.0256400000000001</v>
      </c>
      <c r="Z268" s="3">
        <v>203</v>
      </c>
      <c r="AA268" s="11">
        <v>0.66666599999999998</v>
      </c>
      <c r="AB268" s="3">
        <v>1060</v>
      </c>
      <c r="AC268">
        <v>10</v>
      </c>
      <c r="AD268" s="3">
        <v>1</v>
      </c>
      <c r="AE268">
        <v>0</v>
      </c>
      <c r="AF268">
        <v>9</v>
      </c>
      <c r="AG268" s="5">
        <v>0</v>
      </c>
      <c r="AH268" s="5">
        <v>0.1</v>
      </c>
      <c r="AI268" s="5">
        <v>0</v>
      </c>
      <c r="AJ268" s="3">
        <v>696</v>
      </c>
      <c r="AK268" s="5">
        <v>0.25</v>
      </c>
      <c r="AL268" s="5">
        <v>0.4</v>
      </c>
      <c r="AM268" s="5">
        <v>0.625</v>
      </c>
      <c r="AN268" s="3">
        <v>812</v>
      </c>
      <c r="AO268">
        <v>3</v>
      </c>
      <c r="AP268">
        <v>3</v>
      </c>
      <c r="AQ268" s="5">
        <v>1</v>
      </c>
      <c r="AR268" s="5">
        <v>0.8</v>
      </c>
      <c r="AS268" s="5">
        <v>1.25</v>
      </c>
      <c r="AT268" s="5">
        <v>1</v>
      </c>
    </row>
    <row r="269" spans="1:46" hidden="1">
      <c r="A269" t="str">
        <f>_xlfn.XLOOKUP(Table13[[#This Row],[SAP]],'Location List'!B:B,'Location List'!G:G)</f>
        <v>MO/IA/NE</v>
      </c>
      <c r="B269" t="str">
        <f>LEFT(Table13[[#This Row],[Sap: Loaction]],4)</f>
        <v>4BSH</v>
      </c>
      <c r="C269" s="4" t="str">
        <f>_xlfn.XLOOKUP(Table13[[#This Row],[Employee]],'Location List'!M:M,'Location List'!N:N,"",0)</f>
        <v/>
      </c>
      <c r="D269" t="s">
        <v>973</v>
      </c>
      <c r="E269" t="s">
        <v>733</v>
      </c>
      <c r="F269" t="s">
        <v>578</v>
      </c>
      <c r="G269" s="3">
        <v>4</v>
      </c>
      <c r="H269" s="3">
        <v>992</v>
      </c>
      <c r="I269">
        <v>679.5</v>
      </c>
      <c r="J269" t="s">
        <v>454</v>
      </c>
      <c r="K269" s="6">
        <v>21.99</v>
      </c>
      <c r="L269" s="6">
        <v>34.999999999999993</v>
      </c>
      <c r="M269" s="5">
        <v>0.62828571428571434</v>
      </c>
      <c r="N269" s="3">
        <v>774</v>
      </c>
      <c r="O269" s="10">
        <v>10</v>
      </c>
      <c r="P269" s="10">
        <v>85</v>
      </c>
      <c r="Q269" s="5">
        <v>0.11764705882352941</v>
      </c>
      <c r="R269" s="5">
        <v>0.19</v>
      </c>
      <c r="S269" s="5">
        <v>0.61919400000000002</v>
      </c>
      <c r="T269" s="3">
        <v>874</v>
      </c>
      <c r="U269" s="10">
        <v>1</v>
      </c>
      <c r="V269" s="10">
        <v>85</v>
      </c>
      <c r="W269" s="5">
        <v>1.1764705882352941E-2</v>
      </c>
      <c r="X269" s="5">
        <v>0.05</v>
      </c>
      <c r="Y269" s="5">
        <v>0.23527999999999999</v>
      </c>
      <c r="Z269" s="3">
        <v>890</v>
      </c>
      <c r="AA269" s="11">
        <v>1.4</v>
      </c>
      <c r="AB269" s="3">
        <v>509</v>
      </c>
      <c r="AC269">
        <v>0</v>
      </c>
      <c r="AD269" s="3">
        <v>75</v>
      </c>
      <c r="AE269">
        <v>1</v>
      </c>
      <c r="AF269">
        <v>10</v>
      </c>
      <c r="AG269" s="5">
        <v>0.1</v>
      </c>
      <c r="AH269" s="5">
        <v>0.1</v>
      </c>
      <c r="AI269" s="5">
        <v>1</v>
      </c>
      <c r="AJ269" s="3">
        <v>486</v>
      </c>
      <c r="AK269" s="5">
        <v>6.25E-2</v>
      </c>
      <c r="AL269" s="5">
        <v>0.4</v>
      </c>
      <c r="AM269" s="5">
        <v>0.15625</v>
      </c>
      <c r="AN269" s="3">
        <v>1126</v>
      </c>
      <c r="AO269">
        <v>9</v>
      </c>
      <c r="AP269">
        <v>10</v>
      </c>
      <c r="AQ269" s="5">
        <v>0.9</v>
      </c>
      <c r="AR269" s="5">
        <v>0.8</v>
      </c>
      <c r="AS269" s="5">
        <v>1.125</v>
      </c>
      <c r="AT269" s="5">
        <v>557</v>
      </c>
    </row>
    <row r="270" spans="1:46" hidden="1">
      <c r="A270" t="str">
        <f>_xlfn.XLOOKUP(Table13[[#This Row],[SAP]],'Location List'!B:B,'Location List'!G:G)</f>
        <v>SA SOUTH</v>
      </c>
      <c r="B270" t="str">
        <f>LEFT(Table13[[#This Row],[Sap: Loaction]],4)</f>
        <v>221D</v>
      </c>
      <c r="C270" s="4" t="str">
        <f>_xlfn.XLOOKUP(Table13[[#This Row],[Employee]],'Location List'!M:M,'Location List'!N:N,"",0)</f>
        <v/>
      </c>
      <c r="D270" t="s">
        <v>973</v>
      </c>
      <c r="E270" t="s">
        <v>648</v>
      </c>
      <c r="F270" t="s">
        <v>521</v>
      </c>
      <c r="G270" s="3">
        <v>4</v>
      </c>
      <c r="H270" s="3">
        <v>1000</v>
      </c>
      <c r="I270">
        <v>682.1</v>
      </c>
      <c r="J270" t="s">
        <v>454</v>
      </c>
      <c r="K270" s="6">
        <v>40.49</v>
      </c>
      <c r="L270" s="6">
        <v>40</v>
      </c>
      <c r="M270" s="5">
        <v>1.0122500000000001</v>
      </c>
      <c r="N270" s="3">
        <v>484</v>
      </c>
      <c r="O270" s="10">
        <v>9</v>
      </c>
      <c r="P270" s="10">
        <v>136</v>
      </c>
      <c r="Q270" s="5">
        <v>6.6176470588235295E-2</v>
      </c>
      <c r="R270" s="5">
        <v>0.19</v>
      </c>
      <c r="S270" s="5">
        <v>0.34829399999999999</v>
      </c>
      <c r="T270" s="3">
        <v>1160</v>
      </c>
      <c r="U270" s="10">
        <v>2</v>
      </c>
      <c r="V270" s="10">
        <v>136</v>
      </c>
      <c r="W270" s="5">
        <v>1.4705882352941176E-2</v>
      </c>
      <c r="X270" s="5">
        <v>0.05</v>
      </c>
      <c r="Y270" s="5">
        <v>0.29409999999999997</v>
      </c>
      <c r="Z270" s="3">
        <v>813</v>
      </c>
      <c r="AA270" s="11">
        <v>0.66666599999999998</v>
      </c>
      <c r="AB270" s="3">
        <v>1060</v>
      </c>
      <c r="AC270">
        <v>7.25</v>
      </c>
      <c r="AD270" s="3">
        <v>45</v>
      </c>
      <c r="AE270">
        <v>0</v>
      </c>
      <c r="AF270">
        <v>20</v>
      </c>
      <c r="AG270" s="5">
        <v>0</v>
      </c>
      <c r="AH270" s="5">
        <v>0.1</v>
      </c>
      <c r="AI270" s="5">
        <v>0</v>
      </c>
      <c r="AJ270" s="3">
        <v>696</v>
      </c>
      <c r="AK270" s="5">
        <v>0.25</v>
      </c>
      <c r="AL270" s="5">
        <v>0.4</v>
      </c>
      <c r="AM270" s="5">
        <v>0.625</v>
      </c>
      <c r="AN270" s="3">
        <v>812</v>
      </c>
      <c r="AO270">
        <v>7</v>
      </c>
      <c r="AP270">
        <v>7</v>
      </c>
      <c r="AQ270" s="5">
        <v>1</v>
      </c>
      <c r="AR270" s="5">
        <v>0.8</v>
      </c>
      <c r="AS270" s="5">
        <v>1.25</v>
      </c>
      <c r="AT270" s="5">
        <v>1</v>
      </c>
    </row>
    <row r="271" spans="1:46">
      <c r="A271" t="str">
        <f>_xlfn.XLOOKUP(Table13[[#This Row],[SAP]],'Location List'!B:B,'Location List'!G:G)</f>
        <v>SOUTH TX/RGV</v>
      </c>
      <c r="B271" t="str">
        <f>LEFT(Table13[[#This Row],[Sap: Loaction]],4)</f>
        <v>374E</v>
      </c>
      <c r="C271" s="4" t="str">
        <f>_xlfn.XLOOKUP(Table13[[#This Row],[Employee]],'Location List'!M:M,'Location List'!N:N,"",0)</f>
        <v/>
      </c>
      <c r="D271" t="s">
        <v>973</v>
      </c>
      <c r="E271" t="s">
        <v>602</v>
      </c>
      <c r="F271" t="s">
        <v>502</v>
      </c>
      <c r="G271" s="3">
        <v>4</v>
      </c>
      <c r="H271" s="3">
        <v>1001</v>
      </c>
      <c r="I271">
        <v>682.15</v>
      </c>
      <c r="J271" t="s">
        <v>454</v>
      </c>
      <c r="K271" s="6">
        <v>-12.82</v>
      </c>
      <c r="L271" s="6">
        <v>30</v>
      </c>
      <c r="M271" s="5">
        <v>-0.42733333333333334</v>
      </c>
      <c r="N271" s="3">
        <v>1380</v>
      </c>
      <c r="O271" s="10">
        <v>8</v>
      </c>
      <c r="P271" s="10">
        <v>85</v>
      </c>
      <c r="Q271" s="5">
        <v>9.4117647058823528E-2</v>
      </c>
      <c r="R271" s="5">
        <v>0.19</v>
      </c>
      <c r="S271" s="5">
        <v>0.49535200000000001</v>
      </c>
      <c r="T271" s="3">
        <v>1017</v>
      </c>
      <c r="U271" s="10">
        <v>2</v>
      </c>
      <c r="V271" s="10">
        <v>85</v>
      </c>
      <c r="W271" s="5">
        <v>2.3529411764705882E-2</v>
      </c>
      <c r="X271" s="5">
        <v>0.05</v>
      </c>
      <c r="Y271" s="5">
        <v>0.47058</v>
      </c>
      <c r="Z271" s="3">
        <v>573</v>
      </c>
      <c r="AA271" s="11">
        <v>3</v>
      </c>
      <c r="AB271" s="3">
        <v>69</v>
      </c>
      <c r="AC271">
        <v>0</v>
      </c>
      <c r="AD271" s="3">
        <v>75</v>
      </c>
      <c r="AE271">
        <v>1</v>
      </c>
      <c r="AF271">
        <v>11</v>
      </c>
      <c r="AG271" s="5">
        <v>9.0909090909090912E-2</v>
      </c>
      <c r="AH271" s="5">
        <v>0.1</v>
      </c>
      <c r="AI271" s="5">
        <v>0.90908999999999995</v>
      </c>
      <c r="AJ271" s="3">
        <v>515</v>
      </c>
      <c r="AK271" s="5">
        <v>0.5</v>
      </c>
      <c r="AL271" s="5">
        <v>0.4</v>
      </c>
      <c r="AM271" s="5">
        <v>1.25</v>
      </c>
      <c r="AN271" s="3">
        <v>326</v>
      </c>
      <c r="AO271">
        <v>0</v>
      </c>
      <c r="AP271">
        <v>0</v>
      </c>
      <c r="AQ271" s="5" t="s">
        <v>653</v>
      </c>
      <c r="AR271" s="5">
        <v>0.8</v>
      </c>
      <c r="AS271" s="5">
        <v>0</v>
      </c>
      <c r="AT271" s="5">
        <v>902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1FSI</v>
      </c>
      <c r="C272" s="4" t="str">
        <f>_xlfn.XLOOKUP(Table13[[#This Row],[Employee]],'Location List'!M:M,'Location List'!N:N,"",0)</f>
        <v/>
      </c>
      <c r="D272" t="s">
        <v>973</v>
      </c>
      <c r="E272" t="s">
        <v>758</v>
      </c>
      <c r="F272" t="s">
        <v>520</v>
      </c>
      <c r="G272" s="3">
        <v>4</v>
      </c>
      <c r="H272" s="3">
        <v>1003</v>
      </c>
      <c r="I272">
        <v>683.6</v>
      </c>
      <c r="J272" t="s">
        <v>454</v>
      </c>
      <c r="K272" s="6">
        <v>24.31</v>
      </c>
      <c r="L272" s="6">
        <v>34.999999999999993</v>
      </c>
      <c r="M272" s="5">
        <v>0.69457142857142862</v>
      </c>
      <c r="N272" s="3">
        <v>716</v>
      </c>
      <c r="O272" s="10">
        <v>10</v>
      </c>
      <c r="P272" s="10">
        <v>64</v>
      </c>
      <c r="Q272" s="5">
        <v>0.15625</v>
      </c>
      <c r="R272" s="5">
        <v>0.19</v>
      </c>
      <c r="S272" s="5">
        <v>0.82236799999999999</v>
      </c>
      <c r="T272" s="3">
        <v>661</v>
      </c>
      <c r="U272" s="10">
        <v>3</v>
      </c>
      <c r="V272" s="10">
        <v>64</v>
      </c>
      <c r="W272" s="5">
        <v>4.6875E-2</v>
      </c>
      <c r="X272" s="5">
        <v>0.05</v>
      </c>
      <c r="Y272" s="5">
        <v>0.9375</v>
      </c>
      <c r="Z272" s="3">
        <v>250</v>
      </c>
      <c r="AA272" s="11">
        <v>0.33333299999999999</v>
      </c>
      <c r="AB272" s="3">
        <v>1283</v>
      </c>
      <c r="AC272">
        <v>10</v>
      </c>
      <c r="AD272" s="3">
        <v>1</v>
      </c>
      <c r="AE272">
        <v>0</v>
      </c>
      <c r="AF272">
        <v>2</v>
      </c>
      <c r="AG272" s="5">
        <v>0</v>
      </c>
      <c r="AH272" s="5">
        <v>0.1</v>
      </c>
      <c r="AI272" s="5">
        <v>0</v>
      </c>
      <c r="AJ272" s="3">
        <v>696</v>
      </c>
      <c r="AK272" s="5">
        <v>0.16666666666666666</v>
      </c>
      <c r="AL272" s="5">
        <v>0.4</v>
      </c>
      <c r="AM272" s="5">
        <v>0.41666500000000001</v>
      </c>
      <c r="AN272" s="3">
        <v>960</v>
      </c>
      <c r="AO272">
        <v>0</v>
      </c>
      <c r="AP272">
        <v>2</v>
      </c>
      <c r="AQ272" s="5">
        <v>0</v>
      </c>
      <c r="AR272" s="5">
        <v>0.8</v>
      </c>
      <c r="AS272" s="5">
        <v>0</v>
      </c>
      <c r="AT272" s="5">
        <v>902</v>
      </c>
    </row>
    <row r="273" spans="1:46" hidden="1">
      <c r="A273" t="str">
        <f>_xlfn.XLOOKUP(Table13[[#This Row],[SAP]],'Location List'!B:B,'Location List'!G:G)</f>
        <v>SA/HILL COUNTRY</v>
      </c>
      <c r="B273" t="str">
        <f>LEFT(Table13[[#This Row],[Sap: Loaction]],4)</f>
        <v>776D</v>
      </c>
      <c r="C273" s="4" t="str">
        <f>_xlfn.XLOOKUP(Table13[[#This Row],[Employee]],'Location List'!M:M,'Location List'!N:N,"",0)</f>
        <v/>
      </c>
      <c r="D273" t="s">
        <v>973</v>
      </c>
      <c r="E273" t="s">
        <v>730</v>
      </c>
      <c r="F273" t="s">
        <v>516</v>
      </c>
      <c r="G273" s="3">
        <v>4</v>
      </c>
      <c r="H273" s="3">
        <v>1006</v>
      </c>
      <c r="I273">
        <v>684.95</v>
      </c>
      <c r="J273" t="s">
        <v>454</v>
      </c>
      <c r="K273" s="6">
        <v>12.33</v>
      </c>
      <c r="L273" s="6">
        <v>35</v>
      </c>
      <c r="M273" s="5">
        <v>0.35228571428571426</v>
      </c>
      <c r="N273" s="3">
        <v>959</v>
      </c>
      <c r="O273" s="10">
        <v>12</v>
      </c>
      <c r="P273" s="10">
        <v>117</v>
      </c>
      <c r="Q273" s="5">
        <v>0.10256410256410256</v>
      </c>
      <c r="R273" s="5">
        <v>0.19</v>
      </c>
      <c r="S273" s="5">
        <v>0.53981000000000001</v>
      </c>
      <c r="T273" s="3">
        <v>966</v>
      </c>
      <c r="U273" s="10">
        <v>3</v>
      </c>
      <c r="V273" s="10">
        <v>117</v>
      </c>
      <c r="W273" s="5">
        <v>2.564102564102564E-2</v>
      </c>
      <c r="X273" s="5">
        <v>0.05</v>
      </c>
      <c r="Y273" s="5">
        <v>0.51282000000000005</v>
      </c>
      <c r="Z273" s="3">
        <v>522</v>
      </c>
      <c r="AA273" s="11">
        <v>1.181818</v>
      </c>
      <c r="AB273" s="3">
        <v>663</v>
      </c>
      <c r="AC273">
        <v>9.6</v>
      </c>
      <c r="AD273" s="3">
        <v>13</v>
      </c>
      <c r="AE273">
        <v>2</v>
      </c>
      <c r="AF273">
        <v>18</v>
      </c>
      <c r="AG273" s="5">
        <v>0.1111111111111111</v>
      </c>
      <c r="AH273" s="5">
        <v>0.1</v>
      </c>
      <c r="AI273" s="5">
        <v>1.11111</v>
      </c>
      <c r="AJ273" s="3">
        <v>442</v>
      </c>
      <c r="AK273" s="5">
        <v>0.2</v>
      </c>
      <c r="AL273" s="5">
        <v>0.4</v>
      </c>
      <c r="AM273" s="5">
        <v>0.5</v>
      </c>
      <c r="AN273" s="3">
        <v>937</v>
      </c>
      <c r="AO273">
        <v>2</v>
      </c>
      <c r="AP273">
        <v>3</v>
      </c>
      <c r="AQ273" s="5">
        <v>0.66666666666666663</v>
      </c>
      <c r="AR273" s="5">
        <v>0.8</v>
      </c>
      <c r="AS273" s="5">
        <v>0.83333199999999996</v>
      </c>
      <c r="AT273" s="5">
        <v>681</v>
      </c>
    </row>
    <row r="274" spans="1:46" hidden="1">
      <c r="A274" t="str">
        <f>_xlfn.XLOOKUP(Table13[[#This Row],[SAP]],'Location List'!B:B,'Location List'!G:G)</f>
        <v>MO/IA/NE</v>
      </c>
      <c r="B274" t="str">
        <f>LEFT(Table13[[#This Row],[Sap: Loaction]],4)</f>
        <v>4BSM</v>
      </c>
      <c r="C274" s="4" t="str">
        <f>_xlfn.XLOOKUP(Table13[[#This Row],[Employee]],'Location List'!M:M,'Location List'!N:N,"",0)</f>
        <v/>
      </c>
      <c r="D274" t="s">
        <v>973</v>
      </c>
      <c r="E274" t="s">
        <v>743</v>
      </c>
      <c r="F274" t="s">
        <v>529</v>
      </c>
      <c r="G274" s="3">
        <v>4</v>
      </c>
      <c r="H274" s="3">
        <v>1006</v>
      </c>
      <c r="I274">
        <v>684.95</v>
      </c>
      <c r="J274" t="s">
        <v>454</v>
      </c>
      <c r="K274" s="6">
        <v>20.02</v>
      </c>
      <c r="L274" s="6">
        <v>30</v>
      </c>
      <c r="M274" s="5">
        <v>0.66733333333333333</v>
      </c>
      <c r="N274" s="3">
        <v>743</v>
      </c>
      <c r="O274" s="10">
        <v>6</v>
      </c>
      <c r="P274" s="10">
        <v>47</v>
      </c>
      <c r="Q274" s="5">
        <v>0.1276595744680851</v>
      </c>
      <c r="R274" s="5">
        <v>0.19</v>
      </c>
      <c r="S274" s="5">
        <v>0.67188899999999996</v>
      </c>
      <c r="T274" s="3">
        <v>817</v>
      </c>
      <c r="U274" s="10">
        <v>4</v>
      </c>
      <c r="V274" s="10">
        <v>47</v>
      </c>
      <c r="W274" s="5">
        <v>8.5106382978723402E-2</v>
      </c>
      <c r="X274" s="5">
        <v>0.05</v>
      </c>
      <c r="Y274" s="5">
        <v>1.7021200000000001</v>
      </c>
      <c r="Z274" s="3">
        <v>46</v>
      </c>
      <c r="AA274" s="11">
        <v>0.88888800000000001</v>
      </c>
      <c r="AB274" s="3">
        <v>884</v>
      </c>
      <c r="AC274">
        <v>0</v>
      </c>
      <c r="AD274" s="3">
        <v>75</v>
      </c>
      <c r="AE274">
        <v>0</v>
      </c>
      <c r="AF274">
        <v>8</v>
      </c>
      <c r="AG274" s="5">
        <v>0</v>
      </c>
      <c r="AH274" s="5">
        <v>0.1</v>
      </c>
      <c r="AI274" s="5">
        <v>0</v>
      </c>
      <c r="AJ274" s="3">
        <v>696</v>
      </c>
      <c r="AK274" s="5">
        <v>0</v>
      </c>
      <c r="AL274" s="5">
        <v>0.4</v>
      </c>
      <c r="AM274" s="5">
        <v>0</v>
      </c>
      <c r="AN274" s="3">
        <v>1150</v>
      </c>
      <c r="AO274">
        <v>0</v>
      </c>
      <c r="AP274">
        <v>0</v>
      </c>
      <c r="AQ274" s="5" t="s">
        <v>653</v>
      </c>
      <c r="AR274" s="5">
        <v>0.8</v>
      </c>
      <c r="AS274" s="5">
        <v>0</v>
      </c>
      <c r="AT274" s="5">
        <v>902</v>
      </c>
    </row>
    <row r="275" spans="1:46" hidden="1">
      <c r="A275" t="str">
        <f>_xlfn.XLOOKUP(Table13[[#This Row],[SAP]],'Location List'!B:B,'Location List'!G:G)</f>
        <v>CENTRAL TEXAS</v>
      </c>
      <c r="B275" t="str">
        <f>LEFT(Table13[[#This Row],[Sap: Loaction]],4)</f>
        <v>1FSH</v>
      </c>
      <c r="C275" s="4" t="str">
        <f>_xlfn.XLOOKUP(Table13[[#This Row],[Employee]],'Location List'!M:M,'Location List'!N:N,"",0)</f>
        <v/>
      </c>
      <c r="D275" t="s">
        <v>973</v>
      </c>
      <c r="E275" t="s">
        <v>814</v>
      </c>
      <c r="F275" t="s">
        <v>508</v>
      </c>
      <c r="G275" s="3">
        <v>4</v>
      </c>
      <c r="H275" s="3">
        <v>1012</v>
      </c>
      <c r="I275">
        <v>686.8</v>
      </c>
      <c r="J275" t="s">
        <v>454</v>
      </c>
      <c r="K275" s="6">
        <v>29.45</v>
      </c>
      <c r="L275" s="6">
        <v>40</v>
      </c>
      <c r="M275" s="5">
        <v>0.73624999999999996</v>
      </c>
      <c r="N275" s="3">
        <v>686</v>
      </c>
      <c r="O275" s="10">
        <v>15</v>
      </c>
      <c r="P275" s="10">
        <v>106</v>
      </c>
      <c r="Q275" s="5">
        <v>0.14150943396226415</v>
      </c>
      <c r="R275" s="5">
        <v>0.19</v>
      </c>
      <c r="S275" s="5">
        <v>0.744784</v>
      </c>
      <c r="T275" s="3">
        <v>733</v>
      </c>
      <c r="U275" s="10">
        <v>3</v>
      </c>
      <c r="V275" s="10">
        <v>106</v>
      </c>
      <c r="W275" s="5">
        <v>2.8301886792452831E-2</v>
      </c>
      <c r="X275" s="5">
        <v>0.05</v>
      </c>
      <c r="Y275" s="5">
        <v>0.56601999999999997</v>
      </c>
      <c r="Z275" s="3">
        <v>487</v>
      </c>
      <c r="AA275" s="11">
        <v>0.83333299999999999</v>
      </c>
      <c r="AB275" s="3">
        <v>924</v>
      </c>
      <c r="AC275">
        <v>9</v>
      </c>
      <c r="AD275" s="3">
        <v>22</v>
      </c>
      <c r="AE275">
        <v>0</v>
      </c>
      <c r="AF275">
        <v>10</v>
      </c>
      <c r="AG275" s="5">
        <v>0</v>
      </c>
      <c r="AH275" s="5">
        <v>0.1</v>
      </c>
      <c r="AI275" s="5">
        <v>0</v>
      </c>
      <c r="AJ275" s="3">
        <v>696</v>
      </c>
      <c r="AK275" s="5">
        <v>0.14285699999999998</v>
      </c>
      <c r="AL275" s="5">
        <v>0.4</v>
      </c>
      <c r="AM275" s="5">
        <v>0.35714200000000002</v>
      </c>
      <c r="AN275" s="3">
        <v>1033</v>
      </c>
      <c r="AO275">
        <v>2</v>
      </c>
      <c r="AP275">
        <v>7</v>
      </c>
      <c r="AQ275" s="5">
        <v>0.2857142857142857</v>
      </c>
      <c r="AR275" s="5">
        <v>0.8</v>
      </c>
      <c r="AS275" s="5">
        <v>0.35714200000000002</v>
      </c>
      <c r="AT275" s="5">
        <v>863</v>
      </c>
    </row>
    <row r="276" spans="1:46">
      <c r="A276" t="str">
        <f>_xlfn.XLOOKUP(Table13[[#This Row],[SAP]],'Location List'!B:B,'Location List'!G:G)</f>
        <v>CENTRAL TEXAS</v>
      </c>
      <c r="B276" t="str">
        <f>LEFT(Table13[[#This Row],[Sap: Loaction]],4)</f>
        <v>1DSU</v>
      </c>
      <c r="C276" s="4" t="str">
        <f>_xlfn.XLOOKUP(Table13[[#This Row],[Employee]],'Location List'!M:M,'Location List'!N:N,"",0)</f>
        <v/>
      </c>
      <c r="D276" t="s">
        <v>973</v>
      </c>
      <c r="E276" t="s">
        <v>688</v>
      </c>
      <c r="F276" t="s">
        <v>506</v>
      </c>
      <c r="G276" s="3">
        <v>4</v>
      </c>
      <c r="H276" s="3">
        <v>1013</v>
      </c>
      <c r="I276">
        <v>687.05</v>
      </c>
      <c r="J276" t="s">
        <v>454</v>
      </c>
      <c r="K276" s="6">
        <v>18.010000000000002</v>
      </c>
      <c r="L276" s="6">
        <v>40.000000000000007</v>
      </c>
      <c r="M276" s="5">
        <v>0.45024999999999998</v>
      </c>
      <c r="N276" s="3">
        <v>895</v>
      </c>
      <c r="O276" s="10">
        <v>2</v>
      </c>
      <c r="P276" s="10">
        <v>56</v>
      </c>
      <c r="Q276" s="5">
        <v>3.5714285714285712E-2</v>
      </c>
      <c r="R276" s="5">
        <v>0.19</v>
      </c>
      <c r="S276" s="5">
        <v>0.187968</v>
      </c>
      <c r="T276" s="3">
        <v>1271</v>
      </c>
      <c r="U276" s="10">
        <v>4</v>
      </c>
      <c r="V276" s="10">
        <v>56</v>
      </c>
      <c r="W276" s="5">
        <v>7.1428571428571425E-2</v>
      </c>
      <c r="X276" s="5">
        <v>0.05</v>
      </c>
      <c r="Y276" s="5">
        <v>1.4285600000000001</v>
      </c>
      <c r="Z276" s="3">
        <v>85</v>
      </c>
      <c r="AA276" s="11">
        <v>0.85714199999999996</v>
      </c>
      <c r="AB276" s="3">
        <v>905</v>
      </c>
      <c r="AC276">
        <v>0</v>
      </c>
      <c r="AD276" s="3">
        <v>75</v>
      </c>
      <c r="AE276">
        <v>0</v>
      </c>
      <c r="AF276">
        <v>10</v>
      </c>
      <c r="AG276" s="5">
        <v>0</v>
      </c>
      <c r="AH276" s="5">
        <v>0.1</v>
      </c>
      <c r="AI276" s="5">
        <v>0</v>
      </c>
      <c r="AJ276" s="3">
        <v>696</v>
      </c>
      <c r="AK276" s="5">
        <v>0.75</v>
      </c>
      <c r="AL276" s="5">
        <v>0.4</v>
      </c>
      <c r="AM276" s="5">
        <v>1.875</v>
      </c>
      <c r="AN276" s="3">
        <v>136</v>
      </c>
      <c r="AO276">
        <v>1</v>
      </c>
      <c r="AP276">
        <v>2</v>
      </c>
      <c r="AQ276" s="5">
        <v>0.5</v>
      </c>
      <c r="AR276" s="5">
        <v>0.8</v>
      </c>
      <c r="AS276" s="5">
        <v>0.625</v>
      </c>
      <c r="AT276" s="5">
        <v>741</v>
      </c>
    </row>
    <row r="277" spans="1:46" hidden="1">
      <c r="A277" t="str">
        <f>_xlfn.XLOOKUP(Table13[[#This Row],[SAP]],'Location List'!B:B,'Location List'!G:G)</f>
        <v>DFW EAST</v>
      </c>
      <c r="B277" t="str">
        <f>LEFT(Table13[[#This Row],[Sap: Loaction]],4)</f>
        <v>0115</v>
      </c>
      <c r="C277" s="4" t="str">
        <f>_xlfn.XLOOKUP(Table13[[#This Row],[Employee]],'Location List'!M:M,'Location List'!N:N,"",0)</f>
        <v/>
      </c>
      <c r="D277" t="s">
        <v>973</v>
      </c>
      <c r="E277" t="s">
        <v>787</v>
      </c>
      <c r="F277" t="s">
        <v>530</v>
      </c>
      <c r="G277" s="3">
        <v>4</v>
      </c>
      <c r="H277" s="3">
        <v>1017</v>
      </c>
      <c r="I277">
        <v>688.15</v>
      </c>
      <c r="J277" t="s">
        <v>454</v>
      </c>
      <c r="K277" s="6">
        <v>7.34</v>
      </c>
      <c r="L277" s="6">
        <v>40</v>
      </c>
      <c r="M277" s="5">
        <v>0.1835</v>
      </c>
      <c r="N277" s="3">
        <v>1077</v>
      </c>
      <c r="O277" s="10">
        <v>3</v>
      </c>
      <c r="P277" s="10">
        <v>45</v>
      </c>
      <c r="Q277" s="5">
        <v>6.6666666666666666E-2</v>
      </c>
      <c r="R277" s="5">
        <v>0.19</v>
      </c>
      <c r="S277" s="5">
        <v>0.35087299999999999</v>
      </c>
      <c r="T277" s="3">
        <v>1156</v>
      </c>
      <c r="U277" s="10">
        <v>1</v>
      </c>
      <c r="V277" s="10">
        <v>45</v>
      </c>
      <c r="W277" s="5">
        <v>2.2222222222222223E-2</v>
      </c>
      <c r="X277" s="5">
        <v>0.05</v>
      </c>
      <c r="Y277" s="5">
        <v>0.44444</v>
      </c>
      <c r="Z277" s="3">
        <v>597</v>
      </c>
      <c r="AA277" s="11">
        <v>1.666666</v>
      </c>
      <c r="AB277" s="3">
        <v>357</v>
      </c>
      <c r="AC277">
        <v>6.3333329999999997</v>
      </c>
      <c r="AD277" s="3">
        <v>53</v>
      </c>
      <c r="AE277">
        <v>0</v>
      </c>
      <c r="AF277">
        <v>8</v>
      </c>
      <c r="AG277" s="5">
        <v>0</v>
      </c>
      <c r="AH277" s="5">
        <v>0.1</v>
      </c>
      <c r="AI277" s="5">
        <v>0</v>
      </c>
      <c r="AJ277" s="3">
        <v>696</v>
      </c>
      <c r="AK277" s="5">
        <v>1</v>
      </c>
      <c r="AL277" s="5">
        <v>0.4</v>
      </c>
      <c r="AM277" s="5">
        <v>2.5</v>
      </c>
      <c r="AN277" s="3">
        <v>1</v>
      </c>
      <c r="AO277">
        <v>0</v>
      </c>
      <c r="AP277">
        <v>0</v>
      </c>
      <c r="AQ277" s="5" t="s">
        <v>653</v>
      </c>
      <c r="AR277" s="5">
        <v>0.8</v>
      </c>
      <c r="AS277" s="5">
        <v>0</v>
      </c>
      <c r="AT277" s="5">
        <v>902</v>
      </c>
    </row>
    <row r="278" spans="1:46" hidden="1">
      <c r="A278" t="str">
        <f>_xlfn.XLOOKUP(Table13[[#This Row],[SAP]],'Location List'!B:B,'Location List'!G:G)</f>
        <v>WEST TEXAS</v>
      </c>
      <c r="B278" t="str">
        <f>LEFT(Table13[[#This Row],[Sap: Loaction]],4)</f>
        <v>1FSZ</v>
      </c>
      <c r="C278" s="4" t="str">
        <f>_xlfn.XLOOKUP(Table13[[#This Row],[Employee]],'Location List'!M:M,'Location List'!N:N,"",0)</f>
        <v>RSM</v>
      </c>
      <c r="D278" t="s">
        <v>973</v>
      </c>
      <c r="E278" t="s">
        <v>697</v>
      </c>
      <c r="F278" t="s">
        <v>533</v>
      </c>
      <c r="G278" s="3">
        <v>4</v>
      </c>
      <c r="H278" s="3">
        <v>1019</v>
      </c>
      <c r="I278">
        <v>689.1</v>
      </c>
      <c r="J278" t="s">
        <v>454</v>
      </c>
      <c r="K278" s="6">
        <v>27.18</v>
      </c>
      <c r="L278" s="6">
        <v>40</v>
      </c>
      <c r="M278" s="5">
        <v>0.67949999999999999</v>
      </c>
      <c r="N278" s="3">
        <v>728</v>
      </c>
      <c r="O278" s="10">
        <v>6</v>
      </c>
      <c r="P278" s="10">
        <v>59</v>
      </c>
      <c r="Q278" s="5">
        <v>0.10169491525423729</v>
      </c>
      <c r="R278" s="5">
        <v>0.19</v>
      </c>
      <c r="S278" s="5">
        <v>0.53523100000000001</v>
      </c>
      <c r="T278" s="3">
        <v>975</v>
      </c>
      <c r="U278" s="10">
        <v>0</v>
      </c>
      <c r="V278" s="10">
        <v>59</v>
      </c>
      <c r="W278" s="5">
        <v>0</v>
      </c>
      <c r="X278" s="5">
        <v>0.05</v>
      </c>
      <c r="Y278" s="5">
        <v>0</v>
      </c>
      <c r="Z278" s="3">
        <v>994</v>
      </c>
      <c r="AA278" s="11">
        <v>0.83333299999999999</v>
      </c>
      <c r="AB278" s="3">
        <v>924</v>
      </c>
      <c r="AC278">
        <v>7.75</v>
      </c>
      <c r="AD278" s="3">
        <v>40</v>
      </c>
      <c r="AE278">
        <v>1</v>
      </c>
      <c r="AF278">
        <v>9</v>
      </c>
      <c r="AG278" s="5">
        <v>0.1111111111111111</v>
      </c>
      <c r="AH278" s="5">
        <v>0.1</v>
      </c>
      <c r="AI278" s="5">
        <v>1.11111</v>
      </c>
      <c r="AJ278" s="3">
        <v>442</v>
      </c>
      <c r="AK278" s="5">
        <v>0.5</v>
      </c>
      <c r="AL278" s="5">
        <v>0.4</v>
      </c>
      <c r="AM278" s="5">
        <v>1.25</v>
      </c>
      <c r="AN278" s="3">
        <v>326</v>
      </c>
      <c r="AO278">
        <v>0</v>
      </c>
      <c r="AP278">
        <v>1</v>
      </c>
      <c r="AQ278" s="5">
        <v>0</v>
      </c>
      <c r="AR278" s="5">
        <v>0.8</v>
      </c>
      <c r="AS278" s="5">
        <v>0</v>
      </c>
      <c r="AT278" s="5">
        <v>902</v>
      </c>
    </row>
    <row r="279" spans="1:46" hidden="1">
      <c r="A279" t="str">
        <f>_xlfn.XLOOKUP(Table13[[#This Row],[SAP]],'Location List'!B:B,'Location List'!G:G)</f>
        <v>KS/OK</v>
      </c>
      <c r="B279" t="str">
        <f>LEFT(Table13[[#This Row],[Sap: Loaction]],4)</f>
        <v>407D</v>
      </c>
      <c r="C279" s="4" t="str">
        <f>_xlfn.XLOOKUP(Table13[[#This Row],[Employee]],'Location List'!M:M,'Location List'!N:N,"",0)</f>
        <v/>
      </c>
      <c r="D279" t="s">
        <v>973</v>
      </c>
      <c r="E279" t="s">
        <v>692</v>
      </c>
      <c r="F279" t="s">
        <v>556</v>
      </c>
      <c r="G279" s="3">
        <v>4</v>
      </c>
      <c r="H279" s="3">
        <v>1020</v>
      </c>
      <c r="I279">
        <v>689.5</v>
      </c>
      <c r="J279" t="s">
        <v>454</v>
      </c>
      <c r="K279" s="6">
        <v>36.43</v>
      </c>
      <c r="L279" s="6">
        <v>40</v>
      </c>
      <c r="M279" s="5">
        <v>0.91074999999999995</v>
      </c>
      <c r="N279" s="3">
        <v>556</v>
      </c>
      <c r="O279" s="10">
        <v>14</v>
      </c>
      <c r="P279" s="10">
        <v>92</v>
      </c>
      <c r="Q279" s="5">
        <v>0.15217391304347827</v>
      </c>
      <c r="R279" s="5">
        <v>0.19</v>
      </c>
      <c r="S279" s="5">
        <v>0.80091000000000001</v>
      </c>
      <c r="T279" s="3">
        <v>678</v>
      </c>
      <c r="U279" s="10">
        <v>0</v>
      </c>
      <c r="V279" s="10">
        <v>92</v>
      </c>
      <c r="W279" s="5">
        <v>0</v>
      </c>
      <c r="X279" s="5">
        <v>0.05</v>
      </c>
      <c r="Y279" s="5">
        <v>0</v>
      </c>
      <c r="Z279" s="3">
        <v>994</v>
      </c>
      <c r="AA279" s="11">
        <v>0.5</v>
      </c>
      <c r="AB279" s="3">
        <v>1172</v>
      </c>
      <c r="AC279">
        <v>10</v>
      </c>
      <c r="AD279" s="3">
        <v>1</v>
      </c>
      <c r="AE279">
        <v>0</v>
      </c>
      <c r="AF279">
        <v>13</v>
      </c>
      <c r="AG279" s="5">
        <v>0</v>
      </c>
      <c r="AH279" s="5">
        <v>0.1</v>
      </c>
      <c r="AI279" s="5">
        <v>0</v>
      </c>
      <c r="AJ279" s="3">
        <v>696</v>
      </c>
      <c r="AK279" s="5">
        <v>0.22619</v>
      </c>
      <c r="AL279" s="5">
        <v>0.4</v>
      </c>
      <c r="AM279" s="5">
        <v>0.56547499999999995</v>
      </c>
      <c r="AN279" s="3">
        <v>890</v>
      </c>
      <c r="AO279">
        <v>5</v>
      </c>
      <c r="AP279">
        <v>6</v>
      </c>
      <c r="AQ279" s="5">
        <v>0.83333333333333337</v>
      </c>
      <c r="AR279" s="5">
        <v>0.8</v>
      </c>
      <c r="AS279" s="5">
        <v>1.041666</v>
      </c>
      <c r="AT279" s="5">
        <v>604</v>
      </c>
    </row>
    <row r="280" spans="1:46" hidden="1">
      <c r="A280" t="str">
        <f>_xlfn.XLOOKUP(Table13[[#This Row],[SAP]],'Location List'!B:B,'Location List'!G:G)</f>
        <v>DFW NORTH</v>
      </c>
      <c r="B280" t="str">
        <f>LEFT(Table13[[#This Row],[Sap: Loaction]],4)</f>
        <v>1BSA</v>
      </c>
      <c r="C280" s="4" t="str">
        <f>_xlfn.XLOOKUP(Table13[[#This Row],[Employee]],'Location List'!M:M,'Location List'!N:N,"",0)</f>
        <v/>
      </c>
      <c r="D280" t="s">
        <v>973</v>
      </c>
      <c r="E280" t="s">
        <v>937</v>
      </c>
      <c r="F280" t="s">
        <v>580</v>
      </c>
      <c r="G280" s="3">
        <v>4</v>
      </c>
      <c r="H280" s="3">
        <v>1024</v>
      </c>
      <c r="I280">
        <v>691.45</v>
      </c>
      <c r="J280" t="s">
        <v>454</v>
      </c>
      <c r="K280" s="6">
        <v>11.56</v>
      </c>
      <c r="L280" s="6">
        <v>35</v>
      </c>
      <c r="M280" s="5">
        <v>0.33028571428571429</v>
      </c>
      <c r="N280" s="3">
        <v>969</v>
      </c>
      <c r="O280" s="10">
        <v>5</v>
      </c>
      <c r="P280" s="10">
        <v>43</v>
      </c>
      <c r="Q280" s="5">
        <v>0.11627906976744186</v>
      </c>
      <c r="R280" s="5">
        <v>0.19</v>
      </c>
      <c r="S280" s="5">
        <v>0.61199400000000004</v>
      </c>
      <c r="T280" s="3">
        <v>884</v>
      </c>
      <c r="U280" s="10">
        <v>3</v>
      </c>
      <c r="V280" s="10">
        <v>43</v>
      </c>
      <c r="W280" s="5">
        <v>6.9767441860465115E-2</v>
      </c>
      <c r="X280" s="5">
        <v>0.05</v>
      </c>
      <c r="Y280" s="5">
        <v>1.39534</v>
      </c>
      <c r="Z280" s="3">
        <v>90</v>
      </c>
      <c r="AA280" s="11">
        <v>1.5</v>
      </c>
      <c r="AB280" s="3">
        <v>432</v>
      </c>
      <c r="AC280">
        <v>0</v>
      </c>
      <c r="AD280" s="3">
        <v>75</v>
      </c>
      <c r="AE280">
        <v>0</v>
      </c>
      <c r="AF280">
        <v>8</v>
      </c>
      <c r="AG280" s="5">
        <v>0</v>
      </c>
      <c r="AH280" s="5">
        <v>0.1</v>
      </c>
      <c r="AI280" s="5">
        <v>0</v>
      </c>
      <c r="AJ280" s="3">
        <v>696</v>
      </c>
      <c r="AK280" s="5">
        <v>0</v>
      </c>
      <c r="AL280" s="5">
        <v>0.4</v>
      </c>
      <c r="AM280" s="5">
        <v>0</v>
      </c>
      <c r="AN280" s="3">
        <v>1150</v>
      </c>
      <c r="AO280">
        <v>0</v>
      </c>
      <c r="AP280">
        <v>0</v>
      </c>
      <c r="AQ280" t="s">
        <v>653</v>
      </c>
      <c r="AR280" s="5">
        <v>0.8</v>
      </c>
      <c r="AS280" s="5">
        <v>0</v>
      </c>
      <c r="AT280" s="5">
        <v>902</v>
      </c>
    </row>
    <row r="281" spans="1:46" hidden="1">
      <c r="A281" t="str">
        <f>_xlfn.XLOOKUP(Table13[[#This Row],[SAP]],'Location List'!B:B,'Location List'!G:G)</f>
        <v>SA/HILL COUNTRY</v>
      </c>
      <c r="B281" t="str">
        <f>LEFT(Table13[[#This Row],[Sap: Loaction]],4)</f>
        <v>767D</v>
      </c>
      <c r="C281" s="4" t="str">
        <f>_xlfn.XLOOKUP(Table13[[#This Row],[Employee]],'Location List'!M:M,'Location List'!N:N,"",0)</f>
        <v/>
      </c>
      <c r="D281" t="s">
        <v>973</v>
      </c>
      <c r="E281" t="s">
        <v>967</v>
      </c>
      <c r="F281" t="s">
        <v>562</v>
      </c>
      <c r="G281" s="3">
        <v>4</v>
      </c>
      <c r="H281" s="3">
        <v>1028</v>
      </c>
      <c r="I281">
        <v>692.6</v>
      </c>
      <c r="J281" t="s">
        <v>454</v>
      </c>
      <c r="K281" s="6">
        <v>41.46</v>
      </c>
      <c r="L281" s="6">
        <v>35</v>
      </c>
      <c r="M281" s="5">
        <v>1.1845714285714286</v>
      </c>
      <c r="N281" s="3">
        <v>376</v>
      </c>
      <c r="O281" s="10">
        <v>6</v>
      </c>
      <c r="P281" s="10">
        <v>80</v>
      </c>
      <c r="Q281" s="5">
        <v>7.4999999999999997E-2</v>
      </c>
      <c r="R281" s="5">
        <v>0.19</v>
      </c>
      <c r="S281" s="5">
        <v>0.39473599999999998</v>
      </c>
      <c r="T281" s="3">
        <v>1124</v>
      </c>
      <c r="U281" s="10">
        <v>6</v>
      </c>
      <c r="V281" s="10">
        <v>80</v>
      </c>
      <c r="W281" s="5">
        <v>7.4999999999999997E-2</v>
      </c>
      <c r="X281" s="5">
        <v>0.05</v>
      </c>
      <c r="Y281" s="5">
        <v>1.5</v>
      </c>
      <c r="Z281" s="3">
        <v>74</v>
      </c>
      <c r="AA281" s="11">
        <v>7.6923000000000005E-2</v>
      </c>
      <c r="AB281" s="3">
        <v>1354</v>
      </c>
      <c r="AC281">
        <v>10</v>
      </c>
      <c r="AD281" s="3">
        <v>1</v>
      </c>
      <c r="AE281">
        <v>0</v>
      </c>
      <c r="AF281">
        <v>14</v>
      </c>
      <c r="AG281" s="5">
        <v>0</v>
      </c>
      <c r="AH281" s="5">
        <v>0.1</v>
      </c>
      <c r="AI281" s="5">
        <v>0</v>
      </c>
      <c r="AJ281" s="3">
        <v>696</v>
      </c>
      <c r="AK281" s="5">
        <v>0.16666666666666666</v>
      </c>
      <c r="AL281" s="5">
        <v>0.4</v>
      </c>
      <c r="AM281" s="5">
        <v>0.41666500000000001</v>
      </c>
      <c r="AN281" s="3">
        <v>960</v>
      </c>
      <c r="AO281">
        <v>2</v>
      </c>
      <c r="AP281">
        <v>3</v>
      </c>
      <c r="AQ281" s="5">
        <v>0.66666666666666663</v>
      </c>
      <c r="AR281" s="5">
        <v>0.8</v>
      </c>
      <c r="AS281" s="5">
        <v>0.83333199999999996</v>
      </c>
      <c r="AT281" s="5">
        <v>681</v>
      </c>
    </row>
    <row r="282" spans="1:46" hidden="1">
      <c r="A282" t="str">
        <f>_xlfn.XLOOKUP(Table13[[#This Row],[SAP]],'Location List'!B:B,'Location List'!G:G)</f>
        <v>MO/IA/NE</v>
      </c>
      <c r="B282" t="str">
        <f>LEFT(Table13[[#This Row],[Sap: Loaction]],4)</f>
        <v>4ASA</v>
      </c>
      <c r="C282" s="4" t="str">
        <f>_xlfn.XLOOKUP(Table13[[#This Row],[Employee]],'Location List'!M:M,'Location List'!N:N,"",0)</f>
        <v/>
      </c>
      <c r="D282" t="s">
        <v>973</v>
      </c>
      <c r="E282" t="s">
        <v>933</v>
      </c>
      <c r="F282" t="s">
        <v>550</v>
      </c>
      <c r="G282" s="3">
        <v>4</v>
      </c>
      <c r="H282" s="3">
        <v>1030</v>
      </c>
      <c r="I282">
        <v>693.3</v>
      </c>
      <c r="J282" t="s">
        <v>454</v>
      </c>
      <c r="K282" s="6">
        <v>10.88</v>
      </c>
      <c r="L282" s="6">
        <v>40</v>
      </c>
      <c r="M282" s="5">
        <v>0.27200000000000002</v>
      </c>
      <c r="N282" s="3">
        <v>1018</v>
      </c>
      <c r="O282" s="10">
        <v>5</v>
      </c>
      <c r="P282" s="10">
        <v>84</v>
      </c>
      <c r="Q282" s="5">
        <v>5.9523809523809521E-2</v>
      </c>
      <c r="R282" s="5">
        <v>0.19</v>
      </c>
      <c r="S282" s="5">
        <v>0.313278</v>
      </c>
      <c r="T282" s="3">
        <v>1184</v>
      </c>
      <c r="U282" s="10">
        <v>2</v>
      </c>
      <c r="V282" s="10">
        <v>84</v>
      </c>
      <c r="W282" s="5">
        <v>2.3809523809523808E-2</v>
      </c>
      <c r="X282" s="5">
        <v>0.05</v>
      </c>
      <c r="Y282" s="5">
        <v>0.47617999999999999</v>
      </c>
      <c r="Z282" s="3">
        <v>562</v>
      </c>
      <c r="AA282" s="11">
        <v>0.5</v>
      </c>
      <c r="AB282" s="3">
        <v>1172</v>
      </c>
      <c r="AC282">
        <v>10</v>
      </c>
      <c r="AD282" s="3">
        <v>1</v>
      </c>
      <c r="AE282">
        <v>0</v>
      </c>
      <c r="AF282">
        <v>12</v>
      </c>
      <c r="AG282" s="5">
        <v>0</v>
      </c>
      <c r="AH282" s="5">
        <v>0.1</v>
      </c>
      <c r="AI282" s="5">
        <v>0</v>
      </c>
      <c r="AJ282" s="3">
        <v>696</v>
      </c>
      <c r="AK282" s="5">
        <v>0.58333299999999999</v>
      </c>
      <c r="AL282" s="5">
        <v>0.4</v>
      </c>
      <c r="AM282" s="5">
        <v>1.458332</v>
      </c>
      <c r="AN282" s="3">
        <v>258</v>
      </c>
      <c r="AO282">
        <v>1</v>
      </c>
      <c r="AP282">
        <v>1</v>
      </c>
      <c r="AQ282" s="5">
        <v>1</v>
      </c>
      <c r="AR282" s="5">
        <v>0.8</v>
      </c>
      <c r="AS282" s="5">
        <v>1.25</v>
      </c>
      <c r="AT282" s="5">
        <v>1</v>
      </c>
    </row>
    <row r="283" spans="1:46" hidden="1">
      <c r="A283" t="str">
        <f>_xlfn.XLOOKUP(Table13[[#This Row],[SAP]],'Location List'!B:B,'Location List'!G:G)</f>
        <v>SA/HILL COUNTRY</v>
      </c>
      <c r="B283" t="str">
        <f>LEFT(Table13[[#This Row],[Sap: Loaction]],4)</f>
        <v>1ESB</v>
      </c>
      <c r="C283" s="4" t="str">
        <f>_xlfn.XLOOKUP(Table13[[#This Row],[Employee]],'Location List'!M:M,'Location List'!N:N,"",0)</f>
        <v/>
      </c>
      <c r="D283" t="s">
        <v>973</v>
      </c>
      <c r="E283" t="s">
        <v>999</v>
      </c>
      <c r="F283" t="s">
        <v>515</v>
      </c>
      <c r="G283" s="3">
        <v>4</v>
      </c>
      <c r="H283" s="3">
        <v>1033</v>
      </c>
      <c r="I283">
        <v>693.65</v>
      </c>
      <c r="J283" t="s">
        <v>454</v>
      </c>
      <c r="K283" s="6">
        <v>36.840000000000003</v>
      </c>
      <c r="L283" s="6">
        <v>40</v>
      </c>
      <c r="M283" s="5">
        <v>0.92100000000000004</v>
      </c>
      <c r="N283" s="3">
        <v>549</v>
      </c>
      <c r="O283" s="10">
        <v>9</v>
      </c>
      <c r="P283" s="10">
        <v>109</v>
      </c>
      <c r="Q283" s="5">
        <v>8.2568807339449546E-2</v>
      </c>
      <c r="R283" s="5">
        <v>0.19</v>
      </c>
      <c r="S283" s="5">
        <v>0.43456800000000001</v>
      </c>
      <c r="T283" s="3">
        <v>1094</v>
      </c>
      <c r="U283" s="10">
        <v>6</v>
      </c>
      <c r="V283" s="10">
        <v>109</v>
      </c>
      <c r="W283" s="5">
        <v>5.5045871559633031E-2</v>
      </c>
      <c r="X283" s="5">
        <v>0.05</v>
      </c>
      <c r="Y283" s="5">
        <v>1.1009</v>
      </c>
      <c r="Z283" s="3">
        <v>172</v>
      </c>
      <c r="AA283" s="11">
        <v>0.92307600000000001</v>
      </c>
      <c r="AB283" s="3">
        <v>868</v>
      </c>
      <c r="AC283">
        <v>9</v>
      </c>
      <c r="AD283" s="3">
        <v>22</v>
      </c>
      <c r="AE283">
        <v>0</v>
      </c>
      <c r="AF283">
        <v>4</v>
      </c>
      <c r="AG283" s="5">
        <v>0</v>
      </c>
      <c r="AH283" s="5">
        <v>0.1</v>
      </c>
      <c r="AI283" s="5">
        <v>0</v>
      </c>
      <c r="AJ283" s="3">
        <v>696</v>
      </c>
      <c r="AK283" s="5">
        <v>0.19444433333333333</v>
      </c>
      <c r="AL283" s="5">
        <v>0.4</v>
      </c>
      <c r="AM283" s="5">
        <v>0.48610999999999999</v>
      </c>
      <c r="AN283" s="3">
        <v>947</v>
      </c>
      <c r="AO283">
        <v>1</v>
      </c>
      <c r="AP283">
        <v>4</v>
      </c>
      <c r="AQ283" s="5">
        <v>0.25</v>
      </c>
      <c r="AR283" s="5">
        <v>0.8</v>
      </c>
      <c r="AS283" s="5">
        <v>0.3125</v>
      </c>
      <c r="AT283" s="5">
        <v>872</v>
      </c>
    </row>
    <row r="284" spans="1:46" hidden="1">
      <c r="A284" t="str">
        <f>_xlfn.XLOOKUP(Table13[[#This Row],[SAP]],'Location List'!B:B,'Location List'!G:G)</f>
        <v>SA SOUTH</v>
      </c>
      <c r="B284" t="str">
        <f>LEFT(Table13[[#This Row],[Sap: Loaction]],4)</f>
        <v>1627</v>
      </c>
      <c r="C284" s="4" t="str">
        <f>_xlfn.XLOOKUP(Table13[[#This Row],[Employee]],'Location List'!M:M,'Location List'!N:N,"",0)</f>
        <v/>
      </c>
      <c r="D284" t="s">
        <v>973</v>
      </c>
      <c r="E284" t="s">
        <v>721</v>
      </c>
      <c r="F284" t="s">
        <v>497</v>
      </c>
      <c r="G284" s="3">
        <v>4</v>
      </c>
      <c r="H284" s="3">
        <v>1037</v>
      </c>
      <c r="I284">
        <v>695.05</v>
      </c>
      <c r="J284" t="s">
        <v>454</v>
      </c>
      <c r="K284" s="6">
        <v>11.92</v>
      </c>
      <c r="L284" s="6">
        <v>40</v>
      </c>
      <c r="M284" s="5">
        <v>0.29799999999999999</v>
      </c>
      <c r="N284" s="3">
        <v>995</v>
      </c>
      <c r="O284" s="10">
        <v>10</v>
      </c>
      <c r="P284" s="10">
        <v>76</v>
      </c>
      <c r="Q284" s="5">
        <v>0.13157894736842105</v>
      </c>
      <c r="R284" s="5">
        <v>0.19</v>
      </c>
      <c r="S284" s="5">
        <v>0.69251499999999999</v>
      </c>
      <c r="T284" s="3">
        <v>793</v>
      </c>
      <c r="U284" s="10">
        <v>0</v>
      </c>
      <c r="V284" s="10">
        <v>76</v>
      </c>
      <c r="W284" s="5">
        <v>0</v>
      </c>
      <c r="X284" s="5">
        <v>0.05</v>
      </c>
      <c r="Y284" s="5">
        <v>0</v>
      </c>
      <c r="Z284" s="3">
        <v>994</v>
      </c>
      <c r="AA284" s="11">
        <v>1</v>
      </c>
      <c r="AB284" s="3">
        <v>741</v>
      </c>
      <c r="AC284">
        <v>6.6666660000000002</v>
      </c>
      <c r="AD284" s="3">
        <v>48</v>
      </c>
      <c r="AE284">
        <v>0</v>
      </c>
      <c r="AF284">
        <v>4</v>
      </c>
      <c r="AG284" s="5">
        <v>0</v>
      </c>
      <c r="AH284" s="5">
        <v>0.1</v>
      </c>
      <c r="AI284" s="5">
        <v>0</v>
      </c>
      <c r="AJ284" s="3">
        <v>696</v>
      </c>
      <c r="AK284" s="5">
        <v>0.13333333333333333</v>
      </c>
      <c r="AL284" s="5">
        <v>0.4</v>
      </c>
      <c r="AM284" s="5">
        <v>0.33333200000000002</v>
      </c>
      <c r="AN284" s="3">
        <v>1044</v>
      </c>
      <c r="AO284">
        <v>3</v>
      </c>
      <c r="AP284">
        <v>3</v>
      </c>
      <c r="AQ284" s="5">
        <v>1</v>
      </c>
      <c r="AR284" s="5">
        <v>0.8</v>
      </c>
      <c r="AS284" s="5">
        <v>1.25</v>
      </c>
      <c r="AT284" s="5">
        <v>1</v>
      </c>
    </row>
    <row r="285" spans="1:46" hidden="1">
      <c r="A285" t="str">
        <f>_xlfn.XLOOKUP(Table13[[#This Row],[SAP]],'Location List'!B:B,'Location List'!G:G)</f>
        <v>WEST TEXAS</v>
      </c>
      <c r="B285" t="str">
        <f>LEFT(Table13[[#This Row],[Sap: Loaction]],4)</f>
        <v>705D</v>
      </c>
      <c r="C285" s="4" t="str">
        <f>_xlfn.XLOOKUP(Table13[[#This Row],[Employee]],'Location List'!M:M,'Location List'!N:N,"",0)</f>
        <v>RSM</v>
      </c>
      <c r="D285" t="s">
        <v>973</v>
      </c>
      <c r="E285" t="s">
        <v>807</v>
      </c>
      <c r="F285" t="s">
        <v>518</v>
      </c>
      <c r="G285" s="3">
        <v>4</v>
      </c>
      <c r="H285" s="3">
        <v>1038</v>
      </c>
      <c r="I285">
        <v>695.45</v>
      </c>
      <c r="J285" t="s">
        <v>454</v>
      </c>
      <c r="K285" s="6">
        <v>31.54</v>
      </c>
      <c r="L285" s="6">
        <v>40</v>
      </c>
      <c r="M285" s="5">
        <v>0.78849999999999998</v>
      </c>
      <c r="N285" s="3">
        <v>653</v>
      </c>
      <c r="O285" s="10">
        <v>23</v>
      </c>
      <c r="P285" s="10">
        <v>181</v>
      </c>
      <c r="Q285" s="5">
        <v>0.1270718232044199</v>
      </c>
      <c r="R285" s="5">
        <v>0.19</v>
      </c>
      <c r="S285" s="5">
        <v>0.668794</v>
      </c>
      <c r="T285" s="3">
        <v>819</v>
      </c>
      <c r="U285" s="10">
        <v>5</v>
      </c>
      <c r="V285" s="10">
        <v>181</v>
      </c>
      <c r="W285" s="5">
        <v>2.7624309392265192E-2</v>
      </c>
      <c r="X285" s="5">
        <v>0.05</v>
      </c>
      <c r="Y285" s="5">
        <v>0.55247999999999997</v>
      </c>
      <c r="Z285" s="3">
        <v>495</v>
      </c>
      <c r="AA285" s="11">
        <v>0.375</v>
      </c>
      <c r="AB285" s="3">
        <v>1272</v>
      </c>
      <c r="AC285">
        <v>5.75</v>
      </c>
      <c r="AD285" s="3">
        <v>57</v>
      </c>
      <c r="AE285">
        <v>4</v>
      </c>
      <c r="AF285">
        <v>29</v>
      </c>
      <c r="AG285" s="5">
        <v>0.13793103448275862</v>
      </c>
      <c r="AH285" s="5">
        <v>0.1</v>
      </c>
      <c r="AI285" s="5">
        <v>1.37931</v>
      </c>
      <c r="AJ285" s="3">
        <v>398</v>
      </c>
      <c r="AK285" s="5">
        <v>0.148148</v>
      </c>
      <c r="AL285" s="5">
        <v>0.4</v>
      </c>
      <c r="AM285" s="5">
        <v>0.37036999999999998</v>
      </c>
      <c r="AN285" s="3">
        <v>1031</v>
      </c>
      <c r="AO285">
        <v>1</v>
      </c>
      <c r="AP285">
        <v>5</v>
      </c>
      <c r="AQ285" s="5">
        <v>0.2</v>
      </c>
      <c r="AR285" s="5">
        <v>0.8</v>
      </c>
      <c r="AS285" s="5">
        <v>0.25</v>
      </c>
      <c r="AT285" s="5">
        <v>885</v>
      </c>
    </row>
    <row r="286" spans="1:46" hidden="1">
      <c r="A286" t="str">
        <f>_xlfn.XLOOKUP(Table13[[#This Row],[SAP]],'Location List'!B:B,'Location List'!G:G)</f>
        <v>SOUTH TX/RGV</v>
      </c>
      <c r="B286" t="str">
        <f>LEFT(Table13[[#This Row],[Sap: Loaction]],4)</f>
        <v>536E</v>
      </c>
      <c r="C286" s="4" t="str">
        <f>_xlfn.XLOOKUP(Table13[[#This Row],[Employee]],'Location List'!M:M,'Location List'!N:N,"",0)</f>
        <v/>
      </c>
      <c r="D286" t="s">
        <v>973</v>
      </c>
      <c r="E286" t="s">
        <v>841</v>
      </c>
      <c r="F286" t="s">
        <v>566</v>
      </c>
      <c r="G286" s="3">
        <v>4</v>
      </c>
      <c r="H286" s="3">
        <v>1040</v>
      </c>
      <c r="I286">
        <v>695.95</v>
      </c>
      <c r="J286" t="s">
        <v>454</v>
      </c>
      <c r="K286" s="6">
        <v>9.76</v>
      </c>
      <c r="L286" s="6">
        <v>30</v>
      </c>
      <c r="M286" s="5">
        <v>0.32533333333333331</v>
      </c>
      <c r="N286" s="3">
        <v>975</v>
      </c>
      <c r="O286" s="10">
        <v>4</v>
      </c>
      <c r="P286" s="10">
        <v>46</v>
      </c>
      <c r="Q286" s="5">
        <v>8.6956521739130432E-2</v>
      </c>
      <c r="R286" s="5">
        <v>0.19</v>
      </c>
      <c r="S286" s="5">
        <v>0.45766299999999999</v>
      </c>
      <c r="T286" s="3">
        <v>1062</v>
      </c>
      <c r="U286" s="10">
        <v>1</v>
      </c>
      <c r="V286" s="10">
        <v>46</v>
      </c>
      <c r="W286" s="5">
        <v>2.1739130434782608E-2</v>
      </c>
      <c r="X286" s="5">
        <v>0.05</v>
      </c>
      <c r="Y286" s="5">
        <v>0.43478</v>
      </c>
      <c r="Z286" s="3">
        <v>610</v>
      </c>
      <c r="AA286" s="11">
        <v>1</v>
      </c>
      <c r="AB286" s="3">
        <v>741</v>
      </c>
      <c r="AC286">
        <v>0</v>
      </c>
      <c r="AD286" s="3">
        <v>75</v>
      </c>
      <c r="AE286">
        <v>0</v>
      </c>
      <c r="AF286">
        <v>12</v>
      </c>
      <c r="AG286" s="5">
        <v>0</v>
      </c>
      <c r="AH286" s="5">
        <v>0.1</v>
      </c>
      <c r="AI286" s="5">
        <v>0</v>
      </c>
      <c r="AJ286" s="3">
        <v>696</v>
      </c>
      <c r="AK286" s="5">
        <v>1</v>
      </c>
      <c r="AL286" s="5">
        <v>0.4</v>
      </c>
      <c r="AM286" s="5">
        <v>2.5</v>
      </c>
      <c r="AN286" s="3">
        <v>1</v>
      </c>
      <c r="AO286">
        <v>0</v>
      </c>
      <c r="AP286">
        <v>0</v>
      </c>
      <c r="AQ286" s="5" t="s">
        <v>653</v>
      </c>
      <c r="AR286" s="5">
        <v>0.8</v>
      </c>
      <c r="AS286" s="5">
        <v>0</v>
      </c>
      <c r="AT286" s="5">
        <v>902</v>
      </c>
    </row>
    <row r="287" spans="1:46" hidden="1">
      <c r="A287" t="str">
        <f>_xlfn.XLOOKUP(Table13[[#This Row],[SAP]],'Location List'!B:B,'Location List'!G:G)</f>
        <v>DFW NORTH</v>
      </c>
      <c r="B287" t="str">
        <f>LEFT(Table13[[#This Row],[Sap: Loaction]],4)</f>
        <v>465D</v>
      </c>
      <c r="C287" s="4" t="str">
        <f>_xlfn.XLOOKUP(Table13[[#This Row],[Employee]],'Location List'!M:M,'Location List'!N:N,"",0)</f>
        <v/>
      </c>
      <c r="D287" t="s">
        <v>973</v>
      </c>
      <c r="E287" t="s">
        <v>867</v>
      </c>
      <c r="F287" t="s">
        <v>551</v>
      </c>
      <c r="G287" s="3">
        <v>4</v>
      </c>
      <c r="H287" s="3">
        <v>1043</v>
      </c>
      <c r="I287">
        <v>696.9</v>
      </c>
      <c r="J287" t="s">
        <v>454</v>
      </c>
      <c r="K287" s="6">
        <v>20.73</v>
      </c>
      <c r="L287" s="6">
        <v>40</v>
      </c>
      <c r="M287" s="5">
        <v>0.51824999999999999</v>
      </c>
      <c r="N287" s="3">
        <v>846</v>
      </c>
      <c r="O287" s="10">
        <v>7</v>
      </c>
      <c r="P287" s="10">
        <v>34</v>
      </c>
      <c r="Q287" s="5">
        <v>0.20588235294117646</v>
      </c>
      <c r="R287" s="5">
        <v>0.19</v>
      </c>
      <c r="S287" s="5">
        <v>1.0835889999999999</v>
      </c>
      <c r="T287" s="3">
        <v>434</v>
      </c>
      <c r="U287" s="10">
        <v>0</v>
      </c>
      <c r="V287" s="10">
        <v>34</v>
      </c>
      <c r="W287" s="5">
        <v>0</v>
      </c>
      <c r="X287" s="5">
        <v>0.05</v>
      </c>
      <c r="Y287" s="5">
        <v>0</v>
      </c>
      <c r="Z287" s="3">
        <v>994</v>
      </c>
      <c r="AA287" s="11">
        <v>1</v>
      </c>
      <c r="AB287" s="3">
        <v>741</v>
      </c>
      <c r="AC287">
        <v>10</v>
      </c>
      <c r="AD287" s="3">
        <v>1</v>
      </c>
      <c r="AE287">
        <v>0</v>
      </c>
      <c r="AF287">
        <v>9</v>
      </c>
      <c r="AG287" s="5">
        <v>0</v>
      </c>
      <c r="AH287" s="5">
        <v>0.1</v>
      </c>
      <c r="AI287" s="5">
        <v>0</v>
      </c>
      <c r="AJ287" s="3">
        <v>696</v>
      </c>
      <c r="AK287" s="5">
        <v>0</v>
      </c>
      <c r="AL287" s="5">
        <v>0.4</v>
      </c>
      <c r="AM287" s="5">
        <v>0</v>
      </c>
      <c r="AN287" s="3">
        <v>1150</v>
      </c>
      <c r="AO287">
        <v>0</v>
      </c>
      <c r="AP287">
        <v>0</v>
      </c>
      <c r="AQ287" s="5" t="s">
        <v>653</v>
      </c>
      <c r="AR287" s="5">
        <v>0.8</v>
      </c>
      <c r="AS287" s="5">
        <v>0</v>
      </c>
      <c r="AT287" s="5">
        <v>902</v>
      </c>
    </row>
    <row r="288" spans="1:46" hidden="1">
      <c r="A288" t="str">
        <f>_xlfn.XLOOKUP(Table13[[#This Row],[SAP]],'Location List'!B:B,'Location List'!G:G)</f>
        <v>KS/OK</v>
      </c>
      <c r="B288" t="str">
        <f>LEFT(Table13[[#This Row],[Sap: Loaction]],4)</f>
        <v>857C</v>
      </c>
      <c r="C288" s="4" t="str">
        <f>_xlfn.XLOOKUP(Table13[[#This Row],[Employee]],'Location List'!M:M,'Location List'!N:N,"",0)</f>
        <v/>
      </c>
      <c r="D288" t="s">
        <v>973</v>
      </c>
      <c r="E288" t="s">
        <v>922</v>
      </c>
      <c r="F288" t="s">
        <v>572</v>
      </c>
      <c r="G288" s="3">
        <v>4</v>
      </c>
      <c r="H288" s="3">
        <v>1052</v>
      </c>
      <c r="I288">
        <v>700.65</v>
      </c>
      <c r="J288" t="s">
        <v>454</v>
      </c>
      <c r="K288" s="6">
        <v>19.600000000000001</v>
      </c>
      <c r="L288" s="6">
        <v>40.000000000000007</v>
      </c>
      <c r="M288" s="5">
        <v>0.49</v>
      </c>
      <c r="N288" s="3">
        <v>865</v>
      </c>
      <c r="O288" s="10">
        <v>4</v>
      </c>
      <c r="P288" s="10">
        <v>53</v>
      </c>
      <c r="Q288" s="5">
        <v>7.5471698113207544E-2</v>
      </c>
      <c r="R288" s="5">
        <v>0.19</v>
      </c>
      <c r="S288" s="5">
        <v>0.39721499999999998</v>
      </c>
      <c r="T288" s="3">
        <v>1122</v>
      </c>
      <c r="U288" s="10">
        <v>3</v>
      </c>
      <c r="V288" s="10">
        <v>53</v>
      </c>
      <c r="W288" s="5">
        <v>5.6603773584905662E-2</v>
      </c>
      <c r="X288" s="5">
        <v>0.05</v>
      </c>
      <c r="Y288" s="5">
        <v>1.1320600000000001</v>
      </c>
      <c r="Z288" s="3">
        <v>158</v>
      </c>
      <c r="AA288" s="11">
        <v>2</v>
      </c>
      <c r="AB288" s="3">
        <v>210</v>
      </c>
      <c r="AC288">
        <v>10</v>
      </c>
      <c r="AD288" s="3">
        <v>1</v>
      </c>
      <c r="AE288">
        <v>0</v>
      </c>
      <c r="AF288">
        <v>12</v>
      </c>
      <c r="AG288" s="5">
        <v>0</v>
      </c>
      <c r="AH288" s="5">
        <v>0.1</v>
      </c>
      <c r="AI288" s="5">
        <v>0</v>
      </c>
      <c r="AJ288" s="3">
        <v>696</v>
      </c>
      <c r="AK288" s="5">
        <v>0</v>
      </c>
      <c r="AL288" s="5">
        <v>0.4</v>
      </c>
      <c r="AM288" s="5">
        <v>0</v>
      </c>
      <c r="AN288" s="3">
        <v>1150</v>
      </c>
      <c r="AO288">
        <v>0</v>
      </c>
      <c r="AP288">
        <v>0</v>
      </c>
      <c r="AQ288" s="5" t="s">
        <v>653</v>
      </c>
      <c r="AR288" s="5">
        <v>0.8</v>
      </c>
      <c r="AS288" s="5">
        <v>0</v>
      </c>
      <c r="AT288" s="5">
        <v>902</v>
      </c>
    </row>
    <row r="289" spans="1:46" hidden="1">
      <c r="A289" t="str">
        <f>_xlfn.XLOOKUP(Table13[[#This Row],[SAP]],'Location List'!B:B,'Location List'!G:G)</f>
        <v>SA/HILL COUNTRY</v>
      </c>
      <c r="B289" t="str">
        <f>LEFT(Table13[[#This Row],[Sap: Loaction]],4)</f>
        <v>1ESD</v>
      </c>
      <c r="C289" s="4" t="str">
        <f>_xlfn.XLOOKUP(Table13[[#This Row],[Employee]],'Location List'!M:M,'Location List'!N:N,"",0)</f>
        <v/>
      </c>
      <c r="D289" t="s">
        <v>973</v>
      </c>
      <c r="E289" t="s">
        <v>843</v>
      </c>
      <c r="F289" t="s">
        <v>573</v>
      </c>
      <c r="G289" s="3">
        <v>4</v>
      </c>
      <c r="H289" s="3">
        <v>1053</v>
      </c>
      <c r="I289">
        <v>701.6</v>
      </c>
      <c r="J289" t="s">
        <v>454</v>
      </c>
      <c r="K289" s="6">
        <v>18.440000000000001</v>
      </c>
      <c r="L289" s="6">
        <v>40</v>
      </c>
      <c r="M289" s="5">
        <v>0.46100000000000002</v>
      </c>
      <c r="N289" s="3">
        <v>886</v>
      </c>
      <c r="O289" s="10">
        <v>11</v>
      </c>
      <c r="P289" s="10">
        <v>76</v>
      </c>
      <c r="Q289" s="5">
        <v>0.14473684210526316</v>
      </c>
      <c r="R289" s="5">
        <v>0.19</v>
      </c>
      <c r="S289" s="5">
        <v>0.761768</v>
      </c>
      <c r="T289" s="3">
        <v>711</v>
      </c>
      <c r="U289" s="10">
        <v>3</v>
      </c>
      <c r="V289" s="10">
        <v>76</v>
      </c>
      <c r="W289" s="5">
        <v>3.9473684210526314E-2</v>
      </c>
      <c r="X289" s="5">
        <v>0.05</v>
      </c>
      <c r="Y289" s="5">
        <v>0.78946000000000005</v>
      </c>
      <c r="Z289" s="3">
        <v>333</v>
      </c>
      <c r="AA289" s="11">
        <v>0.625</v>
      </c>
      <c r="AB289" s="3">
        <v>1103</v>
      </c>
      <c r="AC289">
        <v>0</v>
      </c>
      <c r="AD289" s="3">
        <v>75</v>
      </c>
      <c r="AE289">
        <v>0</v>
      </c>
      <c r="AF289">
        <v>8</v>
      </c>
      <c r="AG289" s="5">
        <v>0</v>
      </c>
      <c r="AH289" s="5">
        <v>0.1</v>
      </c>
      <c r="AI289" s="5">
        <v>0</v>
      </c>
      <c r="AJ289" s="3">
        <v>696</v>
      </c>
      <c r="AK289" s="5">
        <v>0.222222</v>
      </c>
      <c r="AL289" s="5">
        <v>0.4</v>
      </c>
      <c r="AM289" s="5">
        <v>0.55555500000000002</v>
      </c>
      <c r="AN289" s="3">
        <v>894</v>
      </c>
      <c r="AO289">
        <v>2</v>
      </c>
      <c r="AP289">
        <v>5</v>
      </c>
      <c r="AQ289" s="5">
        <v>0.4</v>
      </c>
      <c r="AR289" s="5">
        <v>0.8</v>
      </c>
      <c r="AS289" s="5">
        <v>0.5</v>
      </c>
      <c r="AT289" s="5">
        <v>816</v>
      </c>
    </row>
    <row r="290" spans="1:46" hidden="1">
      <c r="A290" t="str">
        <f>_xlfn.XLOOKUP(Table13[[#This Row],[SAP]],'Location List'!B:B,'Location List'!G:G)</f>
        <v>KS/OK</v>
      </c>
      <c r="B290" t="str">
        <f>LEFT(Table13[[#This Row],[Sap: Loaction]],4)</f>
        <v>586D</v>
      </c>
      <c r="C290" s="4" t="str">
        <f>_xlfn.XLOOKUP(Table13[[#This Row],[Employee]],'Location List'!M:M,'Location List'!N:N,"",0)</f>
        <v/>
      </c>
      <c r="D290" t="s">
        <v>973</v>
      </c>
      <c r="E290" t="s">
        <v>829</v>
      </c>
      <c r="F290" t="s">
        <v>507</v>
      </c>
      <c r="G290" s="3">
        <v>4</v>
      </c>
      <c r="H290" s="3">
        <v>1055</v>
      </c>
      <c r="I290">
        <v>702.65</v>
      </c>
      <c r="J290" t="s">
        <v>454</v>
      </c>
      <c r="K290" s="6">
        <v>34</v>
      </c>
      <c r="L290" s="6">
        <v>40</v>
      </c>
      <c r="M290" s="5">
        <v>0.85</v>
      </c>
      <c r="N290" s="3">
        <v>604</v>
      </c>
      <c r="O290" s="10">
        <v>14</v>
      </c>
      <c r="P290" s="10">
        <v>175</v>
      </c>
      <c r="Q290" s="5">
        <v>0.08</v>
      </c>
      <c r="R290" s="5">
        <v>0.19</v>
      </c>
      <c r="S290" s="5">
        <v>0.42105199999999998</v>
      </c>
      <c r="T290" s="3">
        <v>1104</v>
      </c>
      <c r="U290" s="10">
        <v>3</v>
      </c>
      <c r="V290" s="10">
        <v>175</v>
      </c>
      <c r="W290" s="5">
        <v>1.7142857142857144E-2</v>
      </c>
      <c r="X290" s="5">
        <v>0.05</v>
      </c>
      <c r="Y290" s="5">
        <v>0.34283999999999998</v>
      </c>
      <c r="Z290" s="3">
        <v>743</v>
      </c>
      <c r="AA290" s="11">
        <v>1</v>
      </c>
      <c r="AB290" s="3">
        <v>741</v>
      </c>
      <c r="AC290">
        <v>10</v>
      </c>
      <c r="AD290" s="3">
        <v>1</v>
      </c>
      <c r="AE290">
        <v>2</v>
      </c>
      <c r="AF290">
        <v>22</v>
      </c>
      <c r="AG290" s="5">
        <v>9.0909090909090912E-2</v>
      </c>
      <c r="AH290" s="5">
        <v>0.1</v>
      </c>
      <c r="AI290" s="5">
        <v>0.90908999999999995</v>
      </c>
      <c r="AJ290" s="3">
        <v>515</v>
      </c>
      <c r="AK290" s="5">
        <v>0.3</v>
      </c>
      <c r="AL290" s="5">
        <v>0.4</v>
      </c>
      <c r="AM290" s="5">
        <v>0.75</v>
      </c>
      <c r="AN290" s="3">
        <v>753</v>
      </c>
      <c r="AO290">
        <v>0</v>
      </c>
      <c r="AP290">
        <v>1</v>
      </c>
      <c r="AQ290" s="5">
        <v>0</v>
      </c>
      <c r="AR290" s="5">
        <v>0.8</v>
      </c>
      <c r="AS290" s="5">
        <v>0</v>
      </c>
      <c r="AT290" s="5">
        <v>902</v>
      </c>
    </row>
    <row r="291" spans="1:46" hidden="1">
      <c r="A291" t="str">
        <f>_xlfn.XLOOKUP(Table13[[#This Row],[SAP]],'Location List'!B:B,'Location List'!G:G)</f>
        <v>SA/HILL COUNTRY</v>
      </c>
      <c r="B291" t="str">
        <f>LEFT(Table13[[#This Row],[Sap: Loaction]],4)</f>
        <v>569D</v>
      </c>
      <c r="C291" s="4" t="str">
        <f>_xlfn.XLOOKUP(Table13[[#This Row],[Employee]],'Location List'!M:M,'Location List'!N:N,"",0)</f>
        <v/>
      </c>
      <c r="D291" t="s">
        <v>973</v>
      </c>
      <c r="E291" t="s">
        <v>754</v>
      </c>
      <c r="F291" t="s">
        <v>513</v>
      </c>
      <c r="G291" s="3">
        <v>4</v>
      </c>
      <c r="H291" s="3">
        <v>1057</v>
      </c>
      <c r="I291">
        <v>702.85</v>
      </c>
      <c r="J291" t="s">
        <v>454</v>
      </c>
      <c r="K291" s="6">
        <v>9.64</v>
      </c>
      <c r="L291" s="6">
        <v>35.000000000000007</v>
      </c>
      <c r="M291" s="5">
        <v>0.27542857142857141</v>
      </c>
      <c r="N291" s="3">
        <v>1015</v>
      </c>
      <c r="O291" s="10">
        <v>2</v>
      </c>
      <c r="P291" s="10">
        <v>30</v>
      </c>
      <c r="Q291" s="5">
        <v>6.6666666666666666E-2</v>
      </c>
      <c r="R291" s="5">
        <v>0.19</v>
      </c>
      <c r="S291" s="5">
        <v>0.35087299999999999</v>
      </c>
      <c r="T291" s="3">
        <v>1156</v>
      </c>
      <c r="U291" s="10">
        <v>2</v>
      </c>
      <c r="V291" s="10">
        <v>30</v>
      </c>
      <c r="W291" s="5">
        <v>6.6666666666666666E-2</v>
      </c>
      <c r="X291" s="5">
        <v>0.05</v>
      </c>
      <c r="Y291" s="5">
        <v>1.3333200000000001</v>
      </c>
      <c r="Z291" s="3">
        <v>100</v>
      </c>
      <c r="AA291" s="11">
        <v>2</v>
      </c>
      <c r="AB291" s="3">
        <v>210</v>
      </c>
      <c r="AC291">
        <v>10</v>
      </c>
      <c r="AD291" s="3">
        <v>1</v>
      </c>
      <c r="AE291">
        <v>1</v>
      </c>
      <c r="AF291">
        <v>13</v>
      </c>
      <c r="AG291" s="5">
        <v>7.6923076923076927E-2</v>
      </c>
      <c r="AH291" s="5">
        <v>0.1</v>
      </c>
      <c r="AI291" s="5">
        <v>0.76922999999999997</v>
      </c>
      <c r="AJ291" s="3">
        <v>554</v>
      </c>
      <c r="AK291" s="5">
        <v>0</v>
      </c>
      <c r="AL291" s="5">
        <v>0.4</v>
      </c>
      <c r="AM291" s="5">
        <v>0</v>
      </c>
      <c r="AN291" s="3">
        <v>1150</v>
      </c>
      <c r="AO291">
        <v>0</v>
      </c>
      <c r="AP291">
        <v>0</v>
      </c>
      <c r="AQ291" s="5" t="s">
        <v>653</v>
      </c>
      <c r="AR291" s="5">
        <v>0.8</v>
      </c>
      <c r="AS291" s="5">
        <v>0</v>
      </c>
      <c r="AT291" s="5">
        <v>902</v>
      </c>
    </row>
    <row r="292" spans="1:46" hidden="1">
      <c r="A292" t="str">
        <f>_xlfn.XLOOKUP(Table13[[#This Row],[SAP]],'Location List'!B:B,'Location List'!G:G)</f>
        <v>DFW EAST</v>
      </c>
      <c r="B292" t="str">
        <f>LEFT(Table13[[#This Row],[Sap: Loaction]],4)</f>
        <v>6ESH</v>
      </c>
      <c r="C292" s="4" t="str">
        <f>_xlfn.XLOOKUP(Table13[[#This Row],[Employee]],'Location List'!M:M,'Location List'!N:N,"",0)</f>
        <v/>
      </c>
      <c r="D292" t="s">
        <v>973</v>
      </c>
      <c r="E292" t="s">
        <v>889</v>
      </c>
      <c r="F292" t="s">
        <v>548</v>
      </c>
      <c r="G292" s="3">
        <v>4</v>
      </c>
      <c r="H292" s="3">
        <v>1059</v>
      </c>
      <c r="I292">
        <v>703.8</v>
      </c>
      <c r="J292" t="s">
        <v>454</v>
      </c>
      <c r="K292" s="6">
        <v>-10.050000000000001</v>
      </c>
      <c r="L292" s="6">
        <v>40.000000000000007</v>
      </c>
      <c r="M292" s="5">
        <v>-0.25124999999999997</v>
      </c>
      <c r="N292" s="3">
        <v>1332</v>
      </c>
      <c r="O292" s="10">
        <v>5</v>
      </c>
      <c r="P292" s="10">
        <v>78</v>
      </c>
      <c r="Q292" s="5">
        <v>6.4102564102564097E-2</v>
      </c>
      <c r="R292" s="5">
        <v>0.19</v>
      </c>
      <c r="S292" s="5">
        <v>0.33737800000000001</v>
      </c>
      <c r="T292" s="3">
        <v>1170</v>
      </c>
      <c r="U292" s="10">
        <v>4</v>
      </c>
      <c r="V292" s="10">
        <v>78</v>
      </c>
      <c r="W292" s="5">
        <v>5.128205128205128E-2</v>
      </c>
      <c r="X292" s="5">
        <v>0.05</v>
      </c>
      <c r="Y292" s="5">
        <v>1.0256400000000001</v>
      </c>
      <c r="Z292" s="3">
        <v>203</v>
      </c>
      <c r="AA292" s="11">
        <v>0.69230700000000001</v>
      </c>
      <c r="AB292" s="3">
        <v>1051</v>
      </c>
      <c r="AC292">
        <v>0</v>
      </c>
      <c r="AD292" s="3">
        <v>75</v>
      </c>
      <c r="AE292">
        <v>0</v>
      </c>
      <c r="AF292">
        <v>25</v>
      </c>
      <c r="AG292" s="5">
        <v>0</v>
      </c>
      <c r="AH292" s="5">
        <v>0.1</v>
      </c>
      <c r="AI292" s="5">
        <v>0</v>
      </c>
      <c r="AJ292" s="3">
        <v>696</v>
      </c>
      <c r="AK292" s="5">
        <v>0.5</v>
      </c>
      <c r="AL292" s="5">
        <v>0.4</v>
      </c>
      <c r="AM292" s="5">
        <v>1.25</v>
      </c>
      <c r="AN292" s="3">
        <v>326</v>
      </c>
      <c r="AO292">
        <v>3</v>
      </c>
      <c r="AP292">
        <v>3</v>
      </c>
      <c r="AQ292" s="5">
        <v>1</v>
      </c>
      <c r="AR292" s="5">
        <v>0.8</v>
      </c>
      <c r="AS292" s="5">
        <v>1.25</v>
      </c>
      <c r="AT292" s="5">
        <v>1</v>
      </c>
    </row>
    <row r="293" spans="1:46" hidden="1">
      <c r="A293" t="str">
        <f>_xlfn.XLOOKUP(Table13[[#This Row],[SAP]],'Location List'!B:B,'Location List'!G:G)</f>
        <v>SA/HILL COUNTRY</v>
      </c>
      <c r="B293" t="str">
        <f>LEFT(Table13[[#This Row],[Sap: Loaction]],4)</f>
        <v>583D</v>
      </c>
      <c r="C293" s="4" t="str">
        <f>_xlfn.XLOOKUP(Table13[[#This Row],[Employee]],'Location List'!M:M,'Location List'!N:N,"",0)</f>
        <v/>
      </c>
      <c r="D293" t="s">
        <v>973</v>
      </c>
      <c r="E293" t="s">
        <v>893</v>
      </c>
      <c r="F293" t="s">
        <v>538</v>
      </c>
      <c r="G293" s="3">
        <v>4</v>
      </c>
      <c r="H293" s="3">
        <v>1061</v>
      </c>
      <c r="I293">
        <v>704</v>
      </c>
      <c r="J293" t="s">
        <v>454</v>
      </c>
      <c r="K293" s="6">
        <v>-7.94</v>
      </c>
      <c r="L293" s="6">
        <v>40</v>
      </c>
      <c r="M293" s="5">
        <v>-0.19850000000000001</v>
      </c>
      <c r="N293" s="3">
        <v>1320</v>
      </c>
      <c r="O293" s="10">
        <v>3</v>
      </c>
      <c r="P293" s="10">
        <v>65</v>
      </c>
      <c r="Q293" s="5">
        <v>4.6153846153846156E-2</v>
      </c>
      <c r="R293" s="5">
        <v>0.19</v>
      </c>
      <c r="S293" s="5">
        <v>0.24290999999999999</v>
      </c>
      <c r="T293" s="3">
        <v>1234</v>
      </c>
      <c r="U293" s="10">
        <v>1</v>
      </c>
      <c r="V293" s="10">
        <v>65</v>
      </c>
      <c r="W293" s="5">
        <v>1.5384615384615385E-2</v>
      </c>
      <c r="X293" s="5">
        <v>0.05</v>
      </c>
      <c r="Y293" s="5">
        <v>0.30768000000000001</v>
      </c>
      <c r="Z293" s="3">
        <v>799</v>
      </c>
      <c r="AA293" s="11">
        <v>2.3333330000000001</v>
      </c>
      <c r="AB293" s="3">
        <v>160</v>
      </c>
      <c r="AC293">
        <v>10</v>
      </c>
      <c r="AD293" s="3">
        <v>1</v>
      </c>
      <c r="AE293">
        <v>1</v>
      </c>
      <c r="AF293">
        <v>10</v>
      </c>
      <c r="AG293" s="5">
        <v>0.1</v>
      </c>
      <c r="AH293" s="5">
        <v>0.1</v>
      </c>
      <c r="AI293" s="5">
        <v>1</v>
      </c>
      <c r="AJ293" s="3">
        <v>486</v>
      </c>
      <c r="AK293" s="5">
        <v>1</v>
      </c>
      <c r="AL293" s="5">
        <v>0.4</v>
      </c>
      <c r="AM293" s="5">
        <v>2.5</v>
      </c>
      <c r="AN293" s="3">
        <v>1</v>
      </c>
      <c r="AO293">
        <v>0</v>
      </c>
      <c r="AP293">
        <v>0</v>
      </c>
      <c r="AQ293" t="s">
        <v>653</v>
      </c>
      <c r="AR293" s="5">
        <v>0.8</v>
      </c>
      <c r="AS293" s="5">
        <v>0</v>
      </c>
      <c r="AT293" s="5">
        <v>902</v>
      </c>
    </row>
    <row r="294" spans="1:46" hidden="1">
      <c r="A294" t="str">
        <f>_xlfn.XLOOKUP(Table13[[#This Row],[SAP]],'Location List'!B:B,'Location List'!G:G)</f>
        <v>DFW EAST</v>
      </c>
      <c r="B294" t="str">
        <f>LEFT(Table13[[#This Row],[Sap: Loaction]],4)</f>
        <v>1357</v>
      </c>
      <c r="C294" s="4" t="str">
        <f>_xlfn.XLOOKUP(Table13[[#This Row],[Employee]],'Location List'!M:M,'Location List'!N:N,"",0)</f>
        <v/>
      </c>
      <c r="D294" t="s">
        <v>973</v>
      </c>
      <c r="E294" t="s">
        <v>835</v>
      </c>
      <c r="F294" t="s">
        <v>549</v>
      </c>
      <c r="G294" s="3">
        <v>4</v>
      </c>
      <c r="H294" s="3">
        <v>1066</v>
      </c>
      <c r="I294">
        <v>705.75</v>
      </c>
      <c r="J294" t="s">
        <v>454</v>
      </c>
      <c r="K294" s="6">
        <v>33.35</v>
      </c>
      <c r="L294" s="6">
        <v>40</v>
      </c>
      <c r="M294" s="5">
        <v>0.83374999999999999</v>
      </c>
      <c r="N294" s="3">
        <v>616</v>
      </c>
      <c r="O294" s="10">
        <v>15</v>
      </c>
      <c r="P294" s="10">
        <v>119</v>
      </c>
      <c r="Q294" s="5">
        <v>0.12605042016806722</v>
      </c>
      <c r="R294" s="5">
        <v>0.19</v>
      </c>
      <c r="S294" s="5">
        <v>0.66342100000000004</v>
      </c>
      <c r="T294" s="3">
        <v>829</v>
      </c>
      <c r="U294" s="10">
        <v>3</v>
      </c>
      <c r="V294" s="10">
        <v>119</v>
      </c>
      <c r="W294" s="5">
        <v>2.5210084033613446E-2</v>
      </c>
      <c r="X294" s="5">
        <v>0.05</v>
      </c>
      <c r="Y294" s="5">
        <v>0.50419999999999998</v>
      </c>
      <c r="Z294" s="3">
        <v>534</v>
      </c>
      <c r="AA294" s="11">
        <v>0.55555500000000002</v>
      </c>
      <c r="AB294" s="3">
        <v>1155</v>
      </c>
      <c r="AC294">
        <v>10</v>
      </c>
      <c r="AD294" s="3">
        <v>1</v>
      </c>
      <c r="AE294">
        <v>1</v>
      </c>
      <c r="AF294">
        <v>23</v>
      </c>
      <c r="AG294" s="5">
        <v>4.3478260869565216E-2</v>
      </c>
      <c r="AH294" s="5">
        <v>0.1</v>
      </c>
      <c r="AI294" s="5">
        <v>0.43478</v>
      </c>
      <c r="AJ294" s="3">
        <v>661</v>
      </c>
      <c r="AK294" s="5">
        <v>0</v>
      </c>
      <c r="AL294" s="5">
        <v>0.4</v>
      </c>
      <c r="AM294" s="5">
        <v>0</v>
      </c>
      <c r="AN294" s="3">
        <v>1150</v>
      </c>
      <c r="AO294">
        <v>3</v>
      </c>
      <c r="AP294">
        <v>4</v>
      </c>
      <c r="AQ294" s="5">
        <v>0.75</v>
      </c>
      <c r="AR294" s="5">
        <v>0.8</v>
      </c>
      <c r="AS294" s="5">
        <v>0.9375</v>
      </c>
      <c r="AT294" s="5">
        <v>644</v>
      </c>
    </row>
    <row r="295" spans="1:46" hidden="1">
      <c r="A295" t="str">
        <f>_xlfn.XLOOKUP(Table13[[#This Row],[SAP]],'Location List'!B:B,'Location List'!G:G)</f>
        <v>CENTRAL TEXAS</v>
      </c>
      <c r="B295" t="str">
        <f>LEFT(Table13[[#This Row],[Sap: Loaction]],4)</f>
        <v>1DSU</v>
      </c>
      <c r="C295" s="4" t="str">
        <f>_xlfn.XLOOKUP(Table13[[#This Row],[Employee]],'Location List'!M:M,'Location List'!N:N,"",0)</f>
        <v/>
      </c>
      <c r="D295" t="s">
        <v>973</v>
      </c>
      <c r="E295" t="s">
        <v>720</v>
      </c>
      <c r="F295" t="s">
        <v>506</v>
      </c>
      <c r="G295" s="3">
        <v>4</v>
      </c>
      <c r="H295" s="3">
        <v>1069</v>
      </c>
      <c r="I295">
        <v>707.05</v>
      </c>
      <c r="J295" t="s">
        <v>454</v>
      </c>
      <c r="K295" s="6">
        <v>17.23</v>
      </c>
      <c r="L295" s="6">
        <v>40</v>
      </c>
      <c r="M295" s="5">
        <v>0.43075000000000002</v>
      </c>
      <c r="N295" s="3">
        <v>914</v>
      </c>
      <c r="O295" s="10">
        <v>14</v>
      </c>
      <c r="P295" s="10">
        <v>128</v>
      </c>
      <c r="Q295" s="5">
        <v>0.109375</v>
      </c>
      <c r="R295" s="5">
        <v>0.19</v>
      </c>
      <c r="S295" s="5">
        <v>0.57565699999999997</v>
      </c>
      <c r="T295" s="3">
        <v>923</v>
      </c>
      <c r="U295" s="10">
        <v>6</v>
      </c>
      <c r="V295" s="10">
        <v>128</v>
      </c>
      <c r="W295" s="5">
        <v>4.6875E-2</v>
      </c>
      <c r="X295" s="5">
        <v>0.05</v>
      </c>
      <c r="Y295" s="5">
        <v>0.9375</v>
      </c>
      <c r="Z295" s="3">
        <v>250</v>
      </c>
      <c r="AA295" s="11">
        <v>0.84615300000000004</v>
      </c>
      <c r="AB295" s="3">
        <v>919</v>
      </c>
      <c r="AC295">
        <v>0</v>
      </c>
      <c r="AD295" s="3">
        <v>75</v>
      </c>
      <c r="AE295">
        <v>1</v>
      </c>
      <c r="AF295">
        <v>15</v>
      </c>
      <c r="AG295" s="5">
        <v>6.6666666666666666E-2</v>
      </c>
      <c r="AH295" s="5">
        <v>0.1</v>
      </c>
      <c r="AI295" s="5">
        <v>0.66666000000000003</v>
      </c>
      <c r="AJ295" s="3">
        <v>591</v>
      </c>
      <c r="AK295" s="5">
        <v>4.7619000000000002E-2</v>
      </c>
      <c r="AL295" s="5">
        <v>0.4</v>
      </c>
      <c r="AM295" s="5">
        <v>0.119047</v>
      </c>
      <c r="AN295" s="3">
        <v>1140</v>
      </c>
      <c r="AO295">
        <v>6</v>
      </c>
      <c r="AP295">
        <v>7</v>
      </c>
      <c r="AQ295" s="5">
        <v>0.8571428571428571</v>
      </c>
      <c r="AR295" s="5">
        <v>0.8</v>
      </c>
      <c r="AS295" s="5">
        <v>1.0714269999999999</v>
      </c>
      <c r="AT295" s="5">
        <v>583</v>
      </c>
    </row>
    <row r="296" spans="1:46" hidden="1">
      <c r="A296" t="str">
        <f>_xlfn.XLOOKUP(Table13[[#This Row],[SAP]],'Location List'!B:B,'Location List'!G:G)</f>
        <v>DFW EAST</v>
      </c>
      <c r="B296" t="str">
        <f>LEFT(Table13[[#This Row],[Sap: Loaction]],4)</f>
        <v>2819</v>
      </c>
      <c r="C296" s="4" t="str">
        <f>_xlfn.XLOOKUP(Table13[[#This Row],[Employee]],'Location List'!M:M,'Location List'!N:N,"",0)</f>
        <v/>
      </c>
      <c r="D296" t="s">
        <v>973</v>
      </c>
      <c r="E296" t="s">
        <v>839</v>
      </c>
      <c r="F296" t="s">
        <v>554</v>
      </c>
      <c r="G296" s="3">
        <v>4</v>
      </c>
      <c r="H296" s="3">
        <v>1071</v>
      </c>
      <c r="I296">
        <v>708.65</v>
      </c>
      <c r="J296" t="s">
        <v>454</v>
      </c>
      <c r="K296" s="6">
        <v>7.76</v>
      </c>
      <c r="L296" s="6">
        <v>40</v>
      </c>
      <c r="M296" s="5">
        <v>0.19400000000000001</v>
      </c>
      <c r="N296" s="3">
        <v>1067</v>
      </c>
      <c r="O296" s="10">
        <v>11</v>
      </c>
      <c r="P296" s="10">
        <v>107</v>
      </c>
      <c r="Q296" s="5">
        <v>0.10280373831775701</v>
      </c>
      <c r="R296" s="5">
        <v>0.19</v>
      </c>
      <c r="S296" s="5">
        <v>0.54106799999999999</v>
      </c>
      <c r="T296" s="3">
        <v>965</v>
      </c>
      <c r="U296" s="10">
        <v>1</v>
      </c>
      <c r="V296" s="10">
        <v>107</v>
      </c>
      <c r="W296" s="5">
        <v>9.3457943925233638E-3</v>
      </c>
      <c r="X296" s="5">
        <v>0.05</v>
      </c>
      <c r="Y296" s="5">
        <v>0.18690000000000001</v>
      </c>
      <c r="Z296" s="3">
        <v>949</v>
      </c>
      <c r="AA296" s="11">
        <v>0.375</v>
      </c>
      <c r="AB296" s="3">
        <v>1272</v>
      </c>
      <c r="AC296">
        <v>10</v>
      </c>
      <c r="AD296" s="3">
        <v>1</v>
      </c>
      <c r="AE296">
        <v>0</v>
      </c>
      <c r="AF296">
        <v>15</v>
      </c>
      <c r="AG296" s="5">
        <v>0</v>
      </c>
      <c r="AH296" s="5">
        <v>0.1</v>
      </c>
      <c r="AI296" s="5">
        <v>0</v>
      </c>
      <c r="AJ296" s="3">
        <v>696</v>
      </c>
      <c r="AK296" s="5">
        <v>0.55555533333333329</v>
      </c>
      <c r="AL296" s="5">
        <v>0.4</v>
      </c>
      <c r="AM296" s="5">
        <v>1.388887</v>
      </c>
      <c r="AN296" s="3">
        <v>289</v>
      </c>
      <c r="AO296">
        <v>1</v>
      </c>
      <c r="AP296">
        <v>1</v>
      </c>
      <c r="AQ296" s="5">
        <v>1</v>
      </c>
      <c r="AR296" s="5">
        <v>0.8</v>
      </c>
      <c r="AS296" s="5">
        <v>1.25</v>
      </c>
      <c r="AT296" s="5">
        <v>1</v>
      </c>
    </row>
    <row r="297" spans="1:46">
      <c r="A297" t="str">
        <f>_xlfn.XLOOKUP(Table13[[#This Row],[SAP]],'Location List'!B:B,'Location List'!G:G)</f>
        <v>DFW NORTH</v>
      </c>
      <c r="B297" t="str">
        <f>LEFT(Table13[[#This Row],[Sap: Loaction]],4)</f>
        <v>1BSA</v>
      </c>
      <c r="C297" s="4" t="str">
        <f>_xlfn.XLOOKUP(Table13[[#This Row],[Employee]],'Location List'!M:M,'Location List'!N:N,"",0)</f>
        <v/>
      </c>
      <c r="D297" t="s">
        <v>973</v>
      </c>
      <c r="E297" t="s">
        <v>941</v>
      </c>
      <c r="F297" t="s">
        <v>580</v>
      </c>
      <c r="G297" s="3">
        <v>4</v>
      </c>
      <c r="H297" s="3">
        <v>1074</v>
      </c>
      <c r="I297">
        <v>709.5</v>
      </c>
      <c r="J297" t="s">
        <v>454</v>
      </c>
      <c r="K297" s="6">
        <v>2.68</v>
      </c>
      <c r="L297" s="6">
        <v>35.000000000000007</v>
      </c>
      <c r="M297" s="5">
        <v>7.6571428571428568E-2</v>
      </c>
      <c r="N297" s="3">
        <v>1150</v>
      </c>
      <c r="O297" s="10">
        <v>3</v>
      </c>
      <c r="P297" s="10">
        <v>69</v>
      </c>
      <c r="Q297" s="5">
        <v>4.3478260869565216E-2</v>
      </c>
      <c r="R297" s="5">
        <v>0.19</v>
      </c>
      <c r="S297" s="5">
        <v>0.22883100000000001</v>
      </c>
      <c r="T297" s="3">
        <v>1242</v>
      </c>
      <c r="U297" s="10">
        <v>2</v>
      </c>
      <c r="V297" s="10">
        <v>69</v>
      </c>
      <c r="W297" s="5">
        <v>2.8985507246376812E-2</v>
      </c>
      <c r="X297" s="5">
        <v>0.05</v>
      </c>
      <c r="Y297" s="5">
        <v>0.57969999999999999</v>
      </c>
      <c r="Z297" s="3">
        <v>480</v>
      </c>
      <c r="AA297" s="11">
        <v>2</v>
      </c>
      <c r="AB297" s="3">
        <v>210</v>
      </c>
      <c r="AC297">
        <v>10</v>
      </c>
      <c r="AD297" s="3">
        <v>1</v>
      </c>
      <c r="AE297">
        <v>0</v>
      </c>
      <c r="AF297">
        <v>8</v>
      </c>
      <c r="AG297" s="5">
        <v>0</v>
      </c>
      <c r="AH297" s="5">
        <v>0.1</v>
      </c>
      <c r="AI297" s="5">
        <v>0</v>
      </c>
      <c r="AJ297" s="3">
        <v>696</v>
      </c>
      <c r="AK297" s="5">
        <v>0</v>
      </c>
      <c r="AL297" s="5">
        <v>0.4</v>
      </c>
      <c r="AM297" s="5">
        <v>0</v>
      </c>
      <c r="AN297" s="3">
        <v>1150</v>
      </c>
      <c r="AO297">
        <v>1</v>
      </c>
      <c r="AP297">
        <v>1</v>
      </c>
      <c r="AQ297" s="5">
        <v>1</v>
      </c>
      <c r="AR297" s="5">
        <v>0.8</v>
      </c>
      <c r="AS297" s="5">
        <v>1.25</v>
      </c>
      <c r="AT297" s="5">
        <v>1</v>
      </c>
    </row>
    <row r="298" spans="1:46" hidden="1">
      <c r="A298" t="str">
        <f>_xlfn.XLOOKUP(Table13[[#This Row],[SAP]],'Location List'!B:B,'Location List'!G:G)</f>
        <v>DFW EAST</v>
      </c>
      <c r="B298" t="str">
        <f>LEFT(Table13[[#This Row],[Sap: Loaction]],4)</f>
        <v>2819</v>
      </c>
      <c r="C298" s="4" t="str">
        <f>_xlfn.XLOOKUP(Table13[[#This Row],[Employee]],'Location List'!M:M,'Location List'!N:N,"",0)</f>
        <v/>
      </c>
      <c r="D298" t="s">
        <v>973</v>
      </c>
      <c r="E298" t="s">
        <v>836</v>
      </c>
      <c r="F298" t="s">
        <v>554</v>
      </c>
      <c r="G298" s="3">
        <v>4</v>
      </c>
      <c r="H298" s="3">
        <v>1075</v>
      </c>
      <c r="I298">
        <v>710.65</v>
      </c>
      <c r="J298" t="s">
        <v>454</v>
      </c>
      <c r="K298" s="6">
        <v>4.99</v>
      </c>
      <c r="L298" s="6">
        <v>40</v>
      </c>
      <c r="M298" s="5">
        <v>0.12475</v>
      </c>
      <c r="N298" s="3">
        <v>1113</v>
      </c>
      <c r="O298" s="10">
        <v>14</v>
      </c>
      <c r="P298" s="10">
        <v>146</v>
      </c>
      <c r="Q298" s="5">
        <v>9.5890410958904104E-2</v>
      </c>
      <c r="R298" s="5">
        <v>0.19</v>
      </c>
      <c r="S298" s="5">
        <v>0.50468400000000002</v>
      </c>
      <c r="T298" s="3">
        <v>1010</v>
      </c>
      <c r="U298" s="10">
        <v>2</v>
      </c>
      <c r="V298" s="10">
        <v>146</v>
      </c>
      <c r="W298" s="5">
        <v>1.3698630136986301E-2</v>
      </c>
      <c r="X298" s="5">
        <v>0.05</v>
      </c>
      <c r="Y298" s="5">
        <v>0.27395999999999998</v>
      </c>
      <c r="Z298" s="3">
        <v>833</v>
      </c>
      <c r="AA298" s="11">
        <v>1.4</v>
      </c>
      <c r="AB298" s="3">
        <v>509</v>
      </c>
      <c r="AC298">
        <v>10</v>
      </c>
      <c r="AD298" s="3">
        <v>1</v>
      </c>
      <c r="AE298">
        <v>0</v>
      </c>
      <c r="AF298">
        <v>26</v>
      </c>
      <c r="AG298" s="5">
        <v>0</v>
      </c>
      <c r="AH298" s="5">
        <v>0.1</v>
      </c>
      <c r="AI298" s="5">
        <v>0</v>
      </c>
      <c r="AJ298" s="3">
        <v>696</v>
      </c>
      <c r="AK298" s="5">
        <v>0.55555533333333329</v>
      </c>
      <c r="AL298" s="5">
        <v>0.4</v>
      </c>
      <c r="AM298" s="5">
        <v>1.388887</v>
      </c>
      <c r="AN298" s="3">
        <v>289</v>
      </c>
      <c r="AO298">
        <v>3</v>
      </c>
      <c r="AP298">
        <v>6</v>
      </c>
      <c r="AQ298" s="5">
        <v>0.5</v>
      </c>
      <c r="AR298" s="5">
        <v>0.8</v>
      </c>
      <c r="AS298" s="5">
        <v>0.625</v>
      </c>
      <c r="AT298" s="5">
        <v>741</v>
      </c>
    </row>
    <row r="299" spans="1:46" hidden="1">
      <c r="A299" t="str">
        <f>_xlfn.XLOOKUP(Table13[[#This Row],[SAP]],'Location List'!B:B,'Location List'!G:G)</f>
        <v>SA SOUTH</v>
      </c>
      <c r="B299" t="str">
        <f>LEFT(Table13[[#This Row],[Sap: Loaction]],4)</f>
        <v>5441</v>
      </c>
      <c r="C299" s="4" t="str">
        <f>_xlfn.XLOOKUP(Table13[[#This Row],[Employee]],'Location List'!M:M,'Location List'!N:N,"",0)</f>
        <v/>
      </c>
      <c r="D299" t="s">
        <v>973</v>
      </c>
      <c r="E299" t="s">
        <v>860</v>
      </c>
      <c r="F299" t="s">
        <v>535</v>
      </c>
      <c r="G299" s="3">
        <v>4</v>
      </c>
      <c r="H299" s="3">
        <v>1076</v>
      </c>
      <c r="I299">
        <v>710.8</v>
      </c>
      <c r="J299" t="s">
        <v>454</v>
      </c>
      <c r="K299" s="6">
        <v>-12.78</v>
      </c>
      <c r="L299" s="6">
        <v>40</v>
      </c>
      <c r="M299" s="5">
        <v>-0.31950000000000001</v>
      </c>
      <c r="N299" s="3">
        <v>1357</v>
      </c>
      <c r="O299" s="10">
        <v>15</v>
      </c>
      <c r="P299" s="10">
        <v>184</v>
      </c>
      <c r="Q299" s="5">
        <v>8.1521739130434784E-2</v>
      </c>
      <c r="R299" s="5">
        <v>0.19</v>
      </c>
      <c r="S299" s="5">
        <v>0.42905700000000002</v>
      </c>
      <c r="T299" s="3">
        <v>1098</v>
      </c>
      <c r="U299" s="10">
        <v>5</v>
      </c>
      <c r="V299" s="10">
        <v>184</v>
      </c>
      <c r="W299" s="5">
        <v>2.717391304347826E-2</v>
      </c>
      <c r="X299" s="5">
        <v>0.05</v>
      </c>
      <c r="Y299" s="5">
        <v>0.54346000000000005</v>
      </c>
      <c r="Z299" s="3">
        <v>499</v>
      </c>
      <c r="AA299" s="11">
        <v>0.63636300000000001</v>
      </c>
      <c r="AB299" s="3">
        <v>1096</v>
      </c>
      <c r="AC299">
        <v>10</v>
      </c>
      <c r="AD299" s="3">
        <v>1</v>
      </c>
      <c r="AE299">
        <v>7</v>
      </c>
      <c r="AF299">
        <v>16</v>
      </c>
      <c r="AG299" s="5">
        <v>0.4375</v>
      </c>
      <c r="AH299" s="5">
        <v>0.1</v>
      </c>
      <c r="AI299" s="5">
        <v>4.375</v>
      </c>
      <c r="AJ299" s="3">
        <v>71</v>
      </c>
      <c r="AK299" s="5">
        <v>0.41666666666666669</v>
      </c>
      <c r="AL299" s="5">
        <v>0.4</v>
      </c>
      <c r="AM299" s="5">
        <v>1.0416650000000001</v>
      </c>
      <c r="AN299" s="3">
        <v>530</v>
      </c>
      <c r="AO299">
        <v>3</v>
      </c>
      <c r="AP299">
        <v>4</v>
      </c>
      <c r="AQ299" s="5">
        <v>0.75</v>
      </c>
      <c r="AR299" s="5">
        <v>0.8</v>
      </c>
      <c r="AS299" s="5">
        <v>0.9375</v>
      </c>
      <c r="AT299" s="5">
        <v>644</v>
      </c>
    </row>
    <row r="300" spans="1:46" hidden="1">
      <c r="A300" t="str">
        <f>_xlfn.XLOOKUP(Table13[[#This Row],[SAP]],'Location List'!B:B,'Location List'!G:G)</f>
        <v>DFW NORTH</v>
      </c>
      <c r="B300" t="str">
        <f>LEFT(Table13[[#This Row],[Sap: Loaction]],4)</f>
        <v>211E</v>
      </c>
      <c r="C300" s="4" t="str">
        <f>_xlfn.XLOOKUP(Table13[[#This Row],[Employee]],'Location List'!M:M,'Location List'!N:N,"",0)</f>
        <v/>
      </c>
      <c r="D300" t="s">
        <v>973</v>
      </c>
      <c r="E300" t="s">
        <v>887</v>
      </c>
      <c r="F300" t="s">
        <v>557</v>
      </c>
      <c r="G300" s="3">
        <v>4</v>
      </c>
      <c r="H300" s="3">
        <v>1076</v>
      </c>
      <c r="I300">
        <v>710.8</v>
      </c>
      <c r="J300" t="s">
        <v>454</v>
      </c>
      <c r="K300" s="6">
        <v>40.770000000000003</v>
      </c>
      <c r="L300" s="6">
        <v>35.000000000000007</v>
      </c>
      <c r="M300" s="5">
        <v>1.1648571428571428</v>
      </c>
      <c r="N300" s="3">
        <v>394</v>
      </c>
      <c r="O300" s="10">
        <v>8</v>
      </c>
      <c r="P300" s="10">
        <v>93</v>
      </c>
      <c r="Q300" s="5">
        <v>8.6021505376344093E-2</v>
      </c>
      <c r="R300" s="5">
        <v>0.19</v>
      </c>
      <c r="S300" s="5">
        <v>0.45274199999999998</v>
      </c>
      <c r="T300" s="3">
        <v>1069</v>
      </c>
      <c r="U300" s="10">
        <v>6</v>
      </c>
      <c r="V300" s="10">
        <v>93</v>
      </c>
      <c r="W300" s="5">
        <v>6.4516129032258063E-2</v>
      </c>
      <c r="X300" s="5">
        <v>0.05</v>
      </c>
      <c r="Y300" s="5">
        <v>1.2903199999999999</v>
      </c>
      <c r="Z300" s="3">
        <v>113</v>
      </c>
      <c r="AA300" s="11">
        <v>0.61538400000000004</v>
      </c>
      <c r="AB300" s="3">
        <v>1115</v>
      </c>
      <c r="AC300">
        <v>6</v>
      </c>
      <c r="AD300" s="3">
        <v>55</v>
      </c>
      <c r="AE300">
        <v>0</v>
      </c>
      <c r="AF300">
        <v>24</v>
      </c>
      <c r="AG300" s="5">
        <v>0</v>
      </c>
      <c r="AH300" s="5">
        <v>0.1</v>
      </c>
      <c r="AI300" s="5">
        <v>0</v>
      </c>
      <c r="AJ300" s="3">
        <v>696</v>
      </c>
      <c r="AK300" s="5">
        <v>0</v>
      </c>
      <c r="AL300" s="5">
        <v>0.4</v>
      </c>
      <c r="AM300" s="5">
        <v>0</v>
      </c>
      <c r="AN300" s="3">
        <v>1150</v>
      </c>
      <c r="AO300">
        <v>0</v>
      </c>
      <c r="AP300">
        <v>1</v>
      </c>
      <c r="AQ300" s="5">
        <v>0</v>
      </c>
      <c r="AR300" s="5">
        <v>0.8</v>
      </c>
      <c r="AS300" s="5">
        <v>0</v>
      </c>
      <c r="AT300" s="5">
        <v>902</v>
      </c>
    </row>
    <row r="301" spans="1:46" hidden="1">
      <c r="A301" t="str">
        <f>_xlfn.XLOOKUP(Table13[[#This Row],[SAP]],'Location List'!B:B,'Location List'!G:G)</f>
        <v>MO/IA/NE</v>
      </c>
      <c r="B301" t="str">
        <f>LEFT(Table13[[#This Row],[Sap: Loaction]],4)</f>
        <v>4ASN</v>
      </c>
      <c r="C301" s="4" t="str">
        <f>_xlfn.XLOOKUP(Table13[[#This Row],[Employee]],'Location List'!M:M,'Location List'!N:N,"",0)</f>
        <v/>
      </c>
      <c r="D301" t="s">
        <v>973</v>
      </c>
      <c r="E301" t="s">
        <v>874</v>
      </c>
      <c r="F301" t="s">
        <v>544</v>
      </c>
      <c r="G301" s="3">
        <v>4</v>
      </c>
      <c r="H301" s="3">
        <v>1080</v>
      </c>
      <c r="I301">
        <v>711.3</v>
      </c>
      <c r="J301" t="s">
        <v>454</v>
      </c>
      <c r="K301" s="6">
        <v>43.08</v>
      </c>
      <c r="L301" s="6">
        <v>40</v>
      </c>
      <c r="M301" s="5">
        <v>1.077</v>
      </c>
      <c r="N301" s="3">
        <v>443</v>
      </c>
      <c r="O301" s="10">
        <v>19</v>
      </c>
      <c r="P301" s="10">
        <v>154</v>
      </c>
      <c r="Q301" s="5">
        <v>0.12337662337662338</v>
      </c>
      <c r="R301" s="5">
        <v>0.19</v>
      </c>
      <c r="S301" s="5">
        <v>0.64934700000000001</v>
      </c>
      <c r="T301" s="3">
        <v>842</v>
      </c>
      <c r="U301" s="10">
        <v>1</v>
      </c>
      <c r="V301" s="10">
        <v>154</v>
      </c>
      <c r="W301" s="5">
        <v>6.4935064935064939E-3</v>
      </c>
      <c r="X301" s="5">
        <v>0.05</v>
      </c>
      <c r="Y301" s="5">
        <v>0.12986</v>
      </c>
      <c r="Z301" s="3">
        <v>987</v>
      </c>
      <c r="AA301" s="11">
        <v>0.5</v>
      </c>
      <c r="AB301" s="3">
        <v>1172</v>
      </c>
      <c r="AC301">
        <v>10</v>
      </c>
      <c r="AD301" s="3">
        <v>1</v>
      </c>
      <c r="AE301">
        <v>2</v>
      </c>
      <c r="AF301">
        <v>32</v>
      </c>
      <c r="AG301" s="5">
        <v>6.25E-2</v>
      </c>
      <c r="AH301" s="5">
        <v>0.1</v>
      </c>
      <c r="AI301" s="5">
        <v>0.625</v>
      </c>
      <c r="AJ301" s="3">
        <v>605</v>
      </c>
      <c r="AK301" s="5">
        <v>8.3333333333333329E-2</v>
      </c>
      <c r="AL301" s="5">
        <v>0.4</v>
      </c>
      <c r="AM301" s="5">
        <v>0.20833199999999999</v>
      </c>
      <c r="AN301" s="3">
        <v>1093</v>
      </c>
      <c r="AO301">
        <v>5</v>
      </c>
      <c r="AP301">
        <v>6</v>
      </c>
      <c r="AQ301" s="5">
        <v>0.83333333333333337</v>
      </c>
      <c r="AR301" s="5">
        <v>0.8</v>
      </c>
      <c r="AS301" s="5">
        <v>1.041666</v>
      </c>
      <c r="AT301" s="5">
        <v>604</v>
      </c>
    </row>
    <row r="302" spans="1:46" hidden="1">
      <c r="A302" t="str">
        <f>_xlfn.XLOOKUP(Table13[[#This Row],[SAP]],'Location List'!B:B,'Location List'!G:G)</f>
        <v>DFW NORTH</v>
      </c>
      <c r="B302" t="str">
        <f>LEFT(Table13[[#This Row],[Sap: Loaction]],4)</f>
        <v>211E</v>
      </c>
      <c r="C302" s="4" t="str">
        <f>_xlfn.XLOOKUP(Table13[[#This Row],[Employee]],'Location List'!M:M,'Location List'!N:N,"",0)</f>
        <v/>
      </c>
      <c r="D302" t="s">
        <v>973</v>
      </c>
      <c r="E302" t="s">
        <v>698</v>
      </c>
      <c r="F302" t="s">
        <v>557</v>
      </c>
      <c r="G302" s="3">
        <v>4</v>
      </c>
      <c r="H302" s="3">
        <v>1084</v>
      </c>
      <c r="I302">
        <v>713.3</v>
      </c>
      <c r="J302" t="s">
        <v>454</v>
      </c>
      <c r="K302" s="6">
        <v>25.62</v>
      </c>
      <c r="L302" s="6">
        <v>35</v>
      </c>
      <c r="M302" s="5">
        <v>0.73199999999999998</v>
      </c>
      <c r="N302" s="3">
        <v>688</v>
      </c>
      <c r="O302" s="10">
        <v>13</v>
      </c>
      <c r="P302" s="10">
        <v>108</v>
      </c>
      <c r="Q302" s="5">
        <v>0.12037037037037036</v>
      </c>
      <c r="R302" s="5">
        <v>0.19</v>
      </c>
      <c r="S302" s="5">
        <v>0.63352600000000003</v>
      </c>
      <c r="T302" s="3">
        <v>856</v>
      </c>
      <c r="U302" s="10">
        <v>1</v>
      </c>
      <c r="V302" s="10">
        <v>108</v>
      </c>
      <c r="W302" s="5">
        <v>9.2592592592592587E-3</v>
      </c>
      <c r="X302" s="5">
        <v>0.05</v>
      </c>
      <c r="Y302" s="5">
        <v>0.18518000000000001</v>
      </c>
      <c r="Z302" s="3">
        <v>954</v>
      </c>
      <c r="AA302" s="11">
        <v>1.555555</v>
      </c>
      <c r="AB302" s="3">
        <v>415</v>
      </c>
      <c r="AC302">
        <v>8.5</v>
      </c>
      <c r="AD302" s="3">
        <v>29</v>
      </c>
      <c r="AE302">
        <v>0</v>
      </c>
      <c r="AF302">
        <v>19</v>
      </c>
      <c r="AG302" s="5">
        <v>0</v>
      </c>
      <c r="AH302" s="5">
        <v>0.1</v>
      </c>
      <c r="AI302" s="5">
        <v>0</v>
      </c>
      <c r="AJ302" s="3">
        <v>696</v>
      </c>
      <c r="AK302" s="5">
        <v>6.6666666666666666E-2</v>
      </c>
      <c r="AL302" s="5">
        <v>0.4</v>
      </c>
      <c r="AM302" s="5">
        <v>0.16666500000000001</v>
      </c>
      <c r="AN302" s="3">
        <v>1117</v>
      </c>
      <c r="AO302">
        <v>1</v>
      </c>
      <c r="AP302">
        <v>3</v>
      </c>
      <c r="AQ302" s="5">
        <v>0.33333333333333331</v>
      </c>
      <c r="AR302" s="5">
        <v>0.8</v>
      </c>
      <c r="AS302" s="5">
        <v>0.41666599999999998</v>
      </c>
      <c r="AT302" s="5">
        <v>830</v>
      </c>
    </row>
    <row r="303" spans="1:46" hidden="1">
      <c r="A303" t="str">
        <f>_xlfn.XLOOKUP(Table13[[#This Row],[SAP]],'Location List'!B:B,'Location List'!G:G)</f>
        <v>CENTRAL TEXAS</v>
      </c>
      <c r="B303" t="str">
        <f>LEFT(Table13[[#This Row],[Sap: Loaction]],4)</f>
        <v>1DST</v>
      </c>
      <c r="C303" s="4" t="str">
        <f>_xlfn.XLOOKUP(Table13[[#This Row],[Employee]],'Location List'!M:M,'Location List'!N:N,"",0)</f>
        <v>RSM</v>
      </c>
      <c r="D303" t="s">
        <v>973</v>
      </c>
      <c r="E303" t="s">
        <v>872</v>
      </c>
      <c r="F303" t="s">
        <v>539</v>
      </c>
      <c r="G303" s="3">
        <v>4</v>
      </c>
      <c r="H303" s="3">
        <v>1087</v>
      </c>
      <c r="I303">
        <v>714.2</v>
      </c>
      <c r="J303" t="s">
        <v>454</v>
      </c>
      <c r="K303" s="6">
        <v>-3.81</v>
      </c>
      <c r="L303" s="6">
        <v>40</v>
      </c>
      <c r="M303" s="5">
        <v>-9.5250000000000001E-2</v>
      </c>
      <c r="N303" s="3">
        <v>1288</v>
      </c>
      <c r="O303" s="10">
        <v>4</v>
      </c>
      <c r="P303" s="10">
        <v>66</v>
      </c>
      <c r="Q303" s="5">
        <v>6.0606060606060608E-2</v>
      </c>
      <c r="R303" s="5">
        <v>0.19</v>
      </c>
      <c r="S303" s="5">
        <v>0.31897799999999998</v>
      </c>
      <c r="T303" s="3">
        <v>1182</v>
      </c>
      <c r="U303" s="10">
        <v>2</v>
      </c>
      <c r="V303" s="10">
        <v>66</v>
      </c>
      <c r="W303" s="5">
        <v>3.0303030303030304E-2</v>
      </c>
      <c r="X303" s="5">
        <v>0.05</v>
      </c>
      <c r="Y303" s="5">
        <v>0.60606000000000004</v>
      </c>
      <c r="Z303" s="3">
        <v>442</v>
      </c>
      <c r="AA303" s="11">
        <v>0</v>
      </c>
      <c r="AB303" s="3">
        <v>1357</v>
      </c>
      <c r="AC303">
        <v>10</v>
      </c>
      <c r="AD303" s="3">
        <v>1</v>
      </c>
      <c r="AE303">
        <v>0</v>
      </c>
      <c r="AF303">
        <v>5</v>
      </c>
      <c r="AG303" s="5">
        <v>0</v>
      </c>
      <c r="AH303" s="5">
        <v>0.1</v>
      </c>
      <c r="AI303" s="5">
        <v>0</v>
      </c>
      <c r="AJ303" s="3">
        <v>696</v>
      </c>
      <c r="AK303" s="5">
        <v>1</v>
      </c>
      <c r="AL303" s="5">
        <v>0.4</v>
      </c>
      <c r="AM303" s="5">
        <v>2.5</v>
      </c>
      <c r="AN303" s="3">
        <v>1</v>
      </c>
      <c r="AO303">
        <v>2</v>
      </c>
      <c r="AP303">
        <v>2</v>
      </c>
      <c r="AQ303" s="5">
        <v>1</v>
      </c>
      <c r="AR303" s="5">
        <v>0.8</v>
      </c>
      <c r="AS303" s="5">
        <v>1.25</v>
      </c>
      <c r="AT303" s="5">
        <v>1</v>
      </c>
    </row>
    <row r="304" spans="1:46" hidden="1">
      <c r="A304" t="str">
        <f>_xlfn.XLOOKUP(Table13[[#This Row],[SAP]],'Location List'!B:B,'Location List'!G:G)</f>
        <v>DFW EAST</v>
      </c>
      <c r="B304" t="str">
        <f>LEFT(Table13[[#This Row],[Sap: Loaction]],4)</f>
        <v>618E</v>
      </c>
      <c r="C304" s="4" t="str">
        <f>_xlfn.XLOOKUP(Table13[[#This Row],[Employee]],'Location List'!M:M,'Location List'!N:N,"",0)</f>
        <v/>
      </c>
      <c r="D304" t="s">
        <v>973</v>
      </c>
      <c r="E304" t="s">
        <v>998</v>
      </c>
      <c r="F304" t="s">
        <v>511</v>
      </c>
      <c r="G304" s="3">
        <v>4</v>
      </c>
      <c r="H304" s="3">
        <v>1089</v>
      </c>
      <c r="I304">
        <v>714.95</v>
      </c>
      <c r="J304" t="s">
        <v>454</v>
      </c>
      <c r="K304" s="6">
        <v>2.14</v>
      </c>
      <c r="L304" s="6">
        <v>30.000000000000004</v>
      </c>
      <c r="M304" s="5">
        <v>7.1333333333333332E-2</v>
      </c>
      <c r="N304" s="3">
        <v>1153</v>
      </c>
      <c r="O304" s="10">
        <v>3</v>
      </c>
      <c r="P304" s="10">
        <v>30</v>
      </c>
      <c r="Q304" s="5">
        <v>0.1</v>
      </c>
      <c r="R304" s="5">
        <v>0.19</v>
      </c>
      <c r="S304" s="5">
        <v>0.52631499999999998</v>
      </c>
      <c r="T304" s="3">
        <v>986</v>
      </c>
      <c r="U304" s="10">
        <v>0</v>
      </c>
      <c r="V304" s="10">
        <v>30</v>
      </c>
      <c r="W304" s="5">
        <v>0</v>
      </c>
      <c r="X304" s="5">
        <v>0.05</v>
      </c>
      <c r="Y304" s="5">
        <v>0</v>
      </c>
      <c r="Z304" s="3">
        <v>994</v>
      </c>
      <c r="AA304" s="11">
        <v>1.5</v>
      </c>
      <c r="AB304" s="3">
        <v>432</v>
      </c>
      <c r="AC304">
        <v>0</v>
      </c>
      <c r="AD304" s="3">
        <v>75</v>
      </c>
      <c r="AE304">
        <v>0</v>
      </c>
      <c r="AF304">
        <v>2</v>
      </c>
      <c r="AG304" s="5">
        <v>0</v>
      </c>
      <c r="AH304" s="5">
        <v>0.1</v>
      </c>
      <c r="AI304" s="5">
        <v>0</v>
      </c>
      <c r="AJ304" s="3">
        <v>696</v>
      </c>
      <c r="AK304" s="5">
        <v>1</v>
      </c>
      <c r="AL304" s="5">
        <v>0.4</v>
      </c>
      <c r="AM304" s="5">
        <v>2.5</v>
      </c>
      <c r="AN304" s="3">
        <v>1</v>
      </c>
      <c r="AO304">
        <v>0</v>
      </c>
      <c r="AP304">
        <v>0</v>
      </c>
      <c r="AQ304" s="5" t="s">
        <v>653</v>
      </c>
      <c r="AR304" s="5">
        <v>0.8</v>
      </c>
      <c r="AS304" s="5">
        <v>0</v>
      </c>
      <c r="AT304" s="5">
        <v>902</v>
      </c>
    </row>
    <row r="305" spans="1:46" hidden="1">
      <c r="A305" t="str">
        <f>_xlfn.XLOOKUP(Table13[[#This Row],[SAP]],'Location List'!B:B,'Location List'!G:G)</f>
        <v>SA/HILL COUNTRY</v>
      </c>
      <c r="B305" t="str">
        <f>LEFT(Table13[[#This Row],[Sap: Loaction]],4)</f>
        <v>1DSW</v>
      </c>
      <c r="C305" s="4" t="str">
        <f>_xlfn.XLOOKUP(Table13[[#This Row],[Employee]],'Location List'!M:M,'Location List'!N:N,"",0)</f>
        <v/>
      </c>
      <c r="D305" t="s">
        <v>973</v>
      </c>
      <c r="E305" t="s">
        <v>713</v>
      </c>
      <c r="F305" t="s">
        <v>500</v>
      </c>
      <c r="G305" s="3">
        <v>4</v>
      </c>
      <c r="H305" s="3">
        <v>1092</v>
      </c>
      <c r="I305">
        <v>716.4</v>
      </c>
      <c r="J305" t="s">
        <v>454</v>
      </c>
      <c r="K305" s="6">
        <v>28.66</v>
      </c>
      <c r="L305" s="6">
        <v>40</v>
      </c>
      <c r="M305" s="5">
        <v>0.71650000000000003</v>
      </c>
      <c r="N305" s="3">
        <v>698</v>
      </c>
      <c r="O305" s="10">
        <v>10</v>
      </c>
      <c r="P305" s="10">
        <v>139</v>
      </c>
      <c r="Q305" s="5">
        <v>7.1942446043165464E-2</v>
      </c>
      <c r="R305" s="5">
        <v>0.19</v>
      </c>
      <c r="S305" s="5">
        <v>0.37864199999999998</v>
      </c>
      <c r="T305" s="3">
        <v>1138</v>
      </c>
      <c r="U305" s="10">
        <v>3</v>
      </c>
      <c r="V305" s="10">
        <v>139</v>
      </c>
      <c r="W305" s="5">
        <v>2.1582733812949641E-2</v>
      </c>
      <c r="X305" s="5">
        <v>0.05</v>
      </c>
      <c r="Y305" s="5">
        <v>0.43164000000000002</v>
      </c>
      <c r="Z305" s="3">
        <v>616</v>
      </c>
      <c r="AA305" s="11">
        <v>1.466666</v>
      </c>
      <c r="AB305" s="3">
        <v>479</v>
      </c>
      <c r="AC305">
        <v>10</v>
      </c>
      <c r="AD305" s="3">
        <v>1</v>
      </c>
      <c r="AE305">
        <v>0</v>
      </c>
      <c r="AF305">
        <v>7</v>
      </c>
      <c r="AG305" s="5">
        <v>0</v>
      </c>
      <c r="AH305" s="5">
        <v>0.1</v>
      </c>
      <c r="AI305" s="5">
        <v>0</v>
      </c>
      <c r="AJ305" s="3">
        <v>696</v>
      </c>
      <c r="AK305" s="5">
        <v>0.1666665</v>
      </c>
      <c r="AL305" s="5">
        <v>0.4</v>
      </c>
      <c r="AM305" s="5">
        <v>0.41666500000000001</v>
      </c>
      <c r="AN305" s="3">
        <v>960</v>
      </c>
      <c r="AO305">
        <v>1</v>
      </c>
      <c r="AP305">
        <v>2</v>
      </c>
      <c r="AQ305" s="5">
        <v>0.5</v>
      </c>
      <c r="AR305" s="5">
        <v>0.8</v>
      </c>
      <c r="AS305" s="5">
        <v>0.625</v>
      </c>
      <c r="AT305" s="5">
        <v>741</v>
      </c>
    </row>
    <row r="306" spans="1:46" hidden="1">
      <c r="A306" t="str">
        <f>_xlfn.XLOOKUP(Table13[[#This Row],[SAP]],'Location List'!B:B,'Location List'!G:G)</f>
        <v>SA SOUTH</v>
      </c>
      <c r="B306" t="str">
        <f>LEFT(Table13[[#This Row],[Sap: Loaction]],4)</f>
        <v>1ESL</v>
      </c>
      <c r="C306" s="4" t="str">
        <f>_xlfn.XLOOKUP(Table13[[#This Row],[Employee]],'Location List'!M:M,'Location List'!N:N,"",0)</f>
        <v/>
      </c>
      <c r="D306" t="s">
        <v>973</v>
      </c>
      <c r="E306" t="s">
        <v>736</v>
      </c>
      <c r="F306" t="s">
        <v>519</v>
      </c>
      <c r="G306" s="3">
        <v>4</v>
      </c>
      <c r="H306" s="3">
        <v>1098</v>
      </c>
      <c r="I306">
        <v>718.15</v>
      </c>
      <c r="J306" t="s">
        <v>454</v>
      </c>
      <c r="K306" s="6">
        <v>-15.55</v>
      </c>
      <c r="L306" s="6">
        <v>35</v>
      </c>
      <c r="M306" s="5">
        <v>-0.44428571428571428</v>
      </c>
      <c r="N306" s="3">
        <v>1384</v>
      </c>
      <c r="O306" s="10">
        <v>2</v>
      </c>
      <c r="P306" s="10">
        <v>74</v>
      </c>
      <c r="Q306" s="5">
        <v>2.7027027027027029E-2</v>
      </c>
      <c r="R306" s="5">
        <v>0.19</v>
      </c>
      <c r="S306" s="5">
        <v>0.14224700000000001</v>
      </c>
      <c r="T306" s="3">
        <v>1292</v>
      </c>
      <c r="U306" s="10">
        <v>0</v>
      </c>
      <c r="V306" s="10">
        <v>74</v>
      </c>
      <c r="W306" s="5">
        <v>0</v>
      </c>
      <c r="X306" s="5">
        <v>0.05</v>
      </c>
      <c r="Y306" s="5">
        <v>0</v>
      </c>
      <c r="Z306" s="3">
        <v>994</v>
      </c>
      <c r="AA306" s="11">
        <v>2.5</v>
      </c>
      <c r="AB306" s="3">
        <v>129</v>
      </c>
      <c r="AC306">
        <v>10</v>
      </c>
      <c r="AD306" s="3">
        <v>1</v>
      </c>
      <c r="AE306">
        <v>1</v>
      </c>
      <c r="AF306">
        <v>3</v>
      </c>
      <c r="AG306" s="5">
        <v>0.33333333333333331</v>
      </c>
      <c r="AH306" s="5">
        <v>0.1</v>
      </c>
      <c r="AI306" s="5">
        <v>3.3333300000000001</v>
      </c>
      <c r="AJ306" s="3">
        <v>113</v>
      </c>
      <c r="AK306" s="5">
        <v>0.5</v>
      </c>
      <c r="AL306" s="5">
        <v>0.4</v>
      </c>
      <c r="AM306" s="5">
        <v>1.25</v>
      </c>
      <c r="AN306" s="3">
        <v>326</v>
      </c>
      <c r="AO306">
        <v>0</v>
      </c>
      <c r="AP306">
        <v>2</v>
      </c>
      <c r="AQ306" s="5">
        <v>0</v>
      </c>
      <c r="AR306" s="5">
        <v>0.8</v>
      </c>
      <c r="AS306" s="5">
        <v>0</v>
      </c>
      <c r="AT306" s="5">
        <v>902</v>
      </c>
    </row>
    <row r="307" spans="1:46" hidden="1">
      <c r="A307" t="str">
        <f>_xlfn.XLOOKUP(Table13[[#This Row],[SAP]],'Location List'!B:B,'Location List'!G:G)</f>
        <v>DFW EAST</v>
      </c>
      <c r="B307" t="str">
        <f>LEFT(Table13[[#This Row],[Sap: Loaction]],4)</f>
        <v>6ESH</v>
      </c>
      <c r="C307" s="4" t="str">
        <f>_xlfn.XLOOKUP(Table13[[#This Row],[Employee]],'Location List'!M:M,'Location List'!N:N,"",0)</f>
        <v/>
      </c>
      <c r="D307" t="s">
        <v>973</v>
      </c>
      <c r="E307" t="s">
        <v>691</v>
      </c>
      <c r="F307" t="s">
        <v>548</v>
      </c>
      <c r="G307" s="3">
        <v>4</v>
      </c>
      <c r="H307" s="3">
        <v>1101</v>
      </c>
      <c r="I307">
        <v>720.8</v>
      </c>
      <c r="J307" t="s">
        <v>454</v>
      </c>
      <c r="K307" s="6">
        <v>14.51</v>
      </c>
      <c r="L307" s="6">
        <v>40</v>
      </c>
      <c r="M307" s="5">
        <v>0.36275000000000002</v>
      </c>
      <c r="N307" s="3">
        <v>950</v>
      </c>
      <c r="O307" s="10">
        <v>8</v>
      </c>
      <c r="P307" s="10">
        <v>72</v>
      </c>
      <c r="Q307" s="5">
        <v>0.1111111111111111</v>
      </c>
      <c r="R307" s="5">
        <v>0.19</v>
      </c>
      <c r="S307" s="5">
        <v>0.58479400000000004</v>
      </c>
      <c r="T307" s="3">
        <v>910</v>
      </c>
      <c r="U307" s="10">
        <v>3</v>
      </c>
      <c r="V307" s="10">
        <v>72</v>
      </c>
      <c r="W307" s="5">
        <v>4.1666666666666664E-2</v>
      </c>
      <c r="X307" s="5">
        <v>0.05</v>
      </c>
      <c r="Y307" s="5">
        <v>0.83331999999999995</v>
      </c>
      <c r="Z307" s="3">
        <v>309</v>
      </c>
      <c r="AA307" s="11">
        <v>1.0909089999999999</v>
      </c>
      <c r="AB307" s="3">
        <v>731</v>
      </c>
      <c r="AC307">
        <v>9</v>
      </c>
      <c r="AD307" s="3">
        <v>22</v>
      </c>
      <c r="AE307">
        <v>0</v>
      </c>
      <c r="AF307">
        <v>17</v>
      </c>
      <c r="AG307" s="5">
        <v>0</v>
      </c>
      <c r="AH307" s="5">
        <v>0.1</v>
      </c>
      <c r="AI307" s="5">
        <v>0</v>
      </c>
      <c r="AJ307" s="3">
        <v>696</v>
      </c>
      <c r="AK307" s="5">
        <v>0.17777766666666664</v>
      </c>
      <c r="AL307" s="5">
        <v>0.4</v>
      </c>
      <c r="AM307" s="5">
        <v>0.444442</v>
      </c>
      <c r="AN307" s="3">
        <v>955</v>
      </c>
      <c r="AO307">
        <v>0</v>
      </c>
      <c r="AP307">
        <v>0</v>
      </c>
      <c r="AQ307" s="5" t="s">
        <v>653</v>
      </c>
      <c r="AR307" s="5">
        <v>0.8</v>
      </c>
      <c r="AS307" s="5">
        <v>0</v>
      </c>
      <c r="AT307" s="5">
        <v>902</v>
      </c>
    </row>
    <row r="308" spans="1:46" hidden="1">
      <c r="A308" t="str">
        <f>_xlfn.XLOOKUP(Table13[[#This Row],[SAP]],'Location List'!B:B,'Location List'!G:G)</f>
        <v>CENTRAL TEXAS</v>
      </c>
      <c r="B308" t="str">
        <f>LEFT(Table13[[#This Row],[Sap: Loaction]],4)</f>
        <v>961F</v>
      </c>
      <c r="C308" s="4" t="str">
        <f>_xlfn.XLOOKUP(Table13[[#This Row],[Employee]],'Location List'!M:M,'Location List'!N:N,"",0)</f>
        <v/>
      </c>
      <c r="D308" t="s">
        <v>973</v>
      </c>
      <c r="E308" t="s">
        <v>679</v>
      </c>
      <c r="F308" t="s">
        <v>547</v>
      </c>
      <c r="G308" s="3">
        <v>4</v>
      </c>
      <c r="H308" s="3">
        <v>1102</v>
      </c>
      <c r="I308">
        <v>720.9</v>
      </c>
      <c r="J308" t="s">
        <v>454</v>
      </c>
      <c r="K308" s="6">
        <v>11.9</v>
      </c>
      <c r="L308" s="6">
        <v>35</v>
      </c>
      <c r="M308" s="5">
        <v>0.34</v>
      </c>
      <c r="N308" s="3">
        <v>964</v>
      </c>
      <c r="O308" s="10">
        <v>7</v>
      </c>
      <c r="P308" s="10">
        <v>52</v>
      </c>
      <c r="Q308" s="5">
        <v>0.13461538461538461</v>
      </c>
      <c r="R308" s="5">
        <v>0.19</v>
      </c>
      <c r="S308" s="5">
        <v>0.70850000000000002</v>
      </c>
      <c r="T308" s="3">
        <v>777</v>
      </c>
      <c r="U308" s="10">
        <v>1</v>
      </c>
      <c r="V308" s="10">
        <v>52</v>
      </c>
      <c r="W308" s="5">
        <v>1.9230769230769232E-2</v>
      </c>
      <c r="X308" s="5">
        <v>0.05</v>
      </c>
      <c r="Y308" s="5">
        <v>0.3846</v>
      </c>
      <c r="Z308" s="3">
        <v>680</v>
      </c>
      <c r="AA308" s="11">
        <v>1.5</v>
      </c>
      <c r="AB308" s="3">
        <v>432</v>
      </c>
      <c r="AC308">
        <v>10</v>
      </c>
      <c r="AD308" s="3">
        <v>1</v>
      </c>
      <c r="AE308">
        <v>0</v>
      </c>
      <c r="AF308">
        <v>4</v>
      </c>
      <c r="AG308" s="5">
        <v>0</v>
      </c>
      <c r="AH308" s="5">
        <v>0.1</v>
      </c>
      <c r="AI308" s="5">
        <v>0</v>
      </c>
      <c r="AJ308" s="3">
        <v>696</v>
      </c>
      <c r="AK308" s="5">
        <v>0</v>
      </c>
      <c r="AL308" s="5">
        <v>0.4</v>
      </c>
      <c r="AM308" s="5">
        <v>0</v>
      </c>
      <c r="AN308" s="3">
        <v>1150</v>
      </c>
      <c r="AO308">
        <v>0</v>
      </c>
      <c r="AP308">
        <v>1</v>
      </c>
      <c r="AQ308" s="5">
        <v>0</v>
      </c>
      <c r="AR308" s="5">
        <v>0.8</v>
      </c>
      <c r="AS308" s="5">
        <v>0</v>
      </c>
      <c r="AT308" s="5">
        <v>902</v>
      </c>
    </row>
    <row r="309" spans="1:46">
      <c r="A309" t="str">
        <f>_xlfn.XLOOKUP(Table13[[#This Row],[SAP]],'Location List'!B:B,'Location List'!G:G)</f>
        <v>SOUTH TX/RGV</v>
      </c>
      <c r="B309" t="str">
        <f>LEFT(Table13[[#This Row],[Sap: Loaction]],4)</f>
        <v>200E</v>
      </c>
      <c r="C309" s="4" t="str">
        <f>_xlfn.XLOOKUP(Table13[[#This Row],[Employee]],'Location List'!M:M,'Location List'!N:N,"",0)</f>
        <v/>
      </c>
      <c r="D309" t="s">
        <v>973</v>
      </c>
      <c r="E309" t="s">
        <v>995</v>
      </c>
      <c r="F309" t="s">
        <v>543</v>
      </c>
      <c r="G309" s="3">
        <v>4</v>
      </c>
      <c r="H309" s="3">
        <v>1105</v>
      </c>
      <c r="I309">
        <v>722.25</v>
      </c>
      <c r="J309" t="s">
        <v>454</v>
      </c>
      <c r="K309" s="6">
        <v>39.19</v>
      </c>
      <c r="L309" s="6">
        <v>40</v>
      </c>
      <c r="M309" s="5">
        <v>0.97975000000000001</v>
      </c>
      <c r="N309" s="3">
        <v>507</v>
      </c>
      <c r="O309" s="10">
        <v>17</v>
      </c>
      <c r="P309" s="10">
        <v>0</v>
      </c>
      <c r="Q309" s="5" t="s">
        <v>986</v>
      </c>
      <c r="R309" s="5">
        <v>0.19</v>
      </c>
      <c r="S309" s="5">
        <v>0</v>
      </c>
      <c r="T309" s="3">
        <v>1332</v>
      </c>
      <c r="U309" s="10">
        <v>4</v>
      </c>
      <c r="V309" s="10">
        <v>0</v>
      </c>
      <c r="W309" s="5" t="s">
        <v>986</v>
      </c>
      <c r="X309" s="5">
        <v>0.05</v>
      </c>
      <c r="Y309" s="5">
        <v>0</v>
      </c>
      <c r="Z309" s="3">
        <v>994</v>
      </c>
      <c r="AA309" s="11">
        <v>1.8461529999999999</v>
      </c>
      <c r="AB309" s="3">
        <v>296</v>
      </c>
      <c r="AC309">
        <v>9.5</v>
      </c>
      <c r="AD309" s="3">
        <v>14</v>
      </c>
      <c r="AE309">
        <v>0</v>
      </c>
      <c r="AF309">
        <v>29</v>
      </c>
      <c r="AG309" s="5">
        <v>0</v>
      </c>
      <c r="AH309" s="5">
        <v>0.1</v>
      </c>
      <c r="AI309" s="5">
        <v>0</v>
      </c>
      <c r="AJ309" s="3">
        <v>696</v>
      </c>
      <c r="AK309" s="5">
        <v>0.40740700000000002</v>
      </c>
      <c r="AL309" s="5">
        <v>0.4</v>
      </c>
      <c r="AM309" s="5">
        <v>1.0185169999999999</v>
      </c>
      <c r="AN309" s="3">
        <v>548</v>
      </c>
      <c r="AO309">
        <v>0</v>
      </c>
      <c r="AP309">
        <v>3</v>
      </c>
      <c r="AQ309">
        <v>0</v>
      </c>
      <c r="AR309" s="5">
        <v>0.8</v>
      </c>
      <c r="AS309" s="5">
        <v>0</v>
      </c>
      <c r="AT309" s="5">
        <v>902</v>
      </c>
    </row>
    <row r="310" spans="1:46" hidden="1">
      <c r="A310" t="str">
        <f>_xlfn.XLOOKUP(Table13[[#This Row],[SAP]],'Location List'!B:B,'Location List'!G:G)</f>
        <v>MO/IA/NE</v>
      </c>
      <c r="B310" t="str">
        <f>LEFT(Table13[[#This Row],[Sap: Loaction]],4)</f>
        <v>4ASN</v>
      </c>
      <c r="C310" s="4" t="str">
        <f>_xlfn.XLOOKUP(Table13[[#This Row],[Employee]],'Location List'!M:M,'Location List'!N:N,"",0)</f>
        <v/>
      </c>
      <c r="D310" t="s">
        <v>973</v>
      </c>
      <c r="E310" t="s">
        <v>906</v>
      </c>
      <c r="F310" t="s">
        <v>544</v>
      </c>
      <c r="G310" s="3">
        <v>4</v>
      </c>
      <c r="H310" s="3">
        <v>1110</v>
      </c>
      <c r="I310">
        <v>723.4</v>
      </c>
      <c r="J310" t="s">
        <v>454</v>
      </c>
      <c r="K310" s="6">
        <v>32.14</v>
      </c>
      <c r="L310" s="6">
        <v>40</v>
      </c>
      <c r="M310" s="5">
        <v>0.80349999999999999</v>
      </c>
      <c r="N310" s="3">
        <v>638</v>
      </c>
      <c r="O310" s="10">
        <v>14</v>
      </c>
      <c r="P310" s="10">
        <v>135</v>
      </c>
      <c r="Q310" s="5">
        <v>0.1037037037037037</v>
      </c>
      <c r="R310" s="5">
        <v>0.19</v>
      </c>
      <c r="S310" s="5">
        <v>0.54580499999999998</v>
      </c>
      <c r="T310" s="3">
        <v>962</v>
      </c>
      <c r="U310" s="10">
        <v>2</v>
      </c>
      <c r="V310" s="10">
        <v>135</v>
      </c>
      <c r="W310" s="5">
        <v>1.4814814814814815E-2</v>
      </c>
      <c r="X310" s="5">
        <v>0.05</v>
      </c>
      <c r="Y310" s="5">
        <v>0.29627999999999999</v>
      </c>
      <c r="Z310" s="3">
        <v>812</v>
      </c>
      <c r="AA310" s="11">
        <v>0.33333299999999999</v>
      </c>
      <c r="AB310" s="3">
        <v>1283</v>
      </c>
      <c r="AC310">
        <v>10</v>
      </c>
      <c r="AD310" s="3">
        <v>1</v>
      </c>
      <c r="AE310">
        <v>0</v>
      </c>
      <c r="AF310">
        <v>6</v>
      </c>
      <c r="AG310" s="5">
        <v>0</v>
      </c>
      <c r="AH310" s="5">
        <v>0.1</v>
      </c>
      <c r="AI310" s="5">
        <v>0</v>
      </c>
      <c r="AJ310" s="3">
        <v>696</v>
      </c>
      <c r="AK310" s="5">
        <v>0.375</v>
      </c>
      <c r="AL310" s="5">
        <v>0.4</v>
      </c>
      <c r="AM310" s="5">
        <v>0.9375</v>
      </c>
      <c r="AN310" s="3">
        <v>594</v>
      </c>
      <c r="AO310">
        <v>4</v>
      </c>
      <c r="AP310">
        <v>5</v>
      </c>
      <c r="AQ310" s="5">
        <v>0.8</v>
      </c>
      <c r="AR310" s="5">
        <v>0.8</v>
      </c>
      <c r="AS310" s="5">
        <v>1</v>
      </c>
      <c r="AT310" s="5">
        <v>619</v>
      </c>
    </row>
    <row r="311" spans="1:46" hidden="1">
      <c r="A311" t="str">
        <f>_xlfn.XLOOKUP(Table13[[#This Row],[SAP]],'Location List'!B:B,'Location List'!G:G)</f>
        <v>SOUTH TX/RGV</v>
      </c>
      <c r="B311" t="str">
        <f>LEFT(Table13[[#This Row],[Sap: Loaction]],4)</f>
        <v>5DSX</v>
      </c>
      <c r="C311" s="4" t="str">
        <f>_xlfn.XLOOKUP(Table13[[#This Row],[Employee]],'Location List'!M:M,'Location List'!N:N,"",0)</f>
        <v/>
      </c>
      <c r="D311" t="s">
        <v>973</v>
      </c>
      <c r="E311" t="s">
        <v>817</v>
      </c>
      <c r="F311" t="s">
        <v>570</v>
      </c>
      <c r="G311" s="3">
        <v>4</v>
      </c>
      <c r="H311" s="3">
        <v>1111</v>
      </c>
      <c r="I311">
        <v>724.55</v>
      </c>
      <c r="J311" t="s">
        <v>454</v>
      </c>
      <c r="K311" s="6">
        <v>28.21</v>
      </c>
      <c r="L311" s="6">
        <v>40</v>
      </c>
      <c r="M311" s="5">
        <v>0.70525000000000004</v>
      </c>
      <c r="N311" s="3">
        <v>709</v>
      </c>
      <c r="O311" s="10">
        <v>26</v>
      </c>
      <c r="P311" s="10">
        <v>172</v>
      </c>
      <c r="Q311" s="5">
        <v>0.15116279069767441</v>
      </c>
      <c r="R311" s="5">
        <v>0.19</v>
      </c>
      <c r="S311" s="5">
        <v>0.79558899999999999</v>
      </c>
      <c r="T311" s="3">
        <v>684</v>
      </c>
      <c r="U311" s="10">
        <v>3</v>
      </c>
      <c r="V311" s="10">
        <v>172</v>
      </c>
      <c r="W311" s="5">
        <v>1.7441860465116279E-2</v>
      </c>
      <c r="X311" s="5">
        <v>0.05</v>
      </c>
      <c r="Y311" s="5">
        <v>0.34882000000000002</v>
      </c>
      <c r="Z311" s="3">
        <v>735</v>
      </c>
      <c r="AA311" s="11">
        <v>0.64285700000000001</v>
      </c>
      <c r="AB311" s="3">
        <v>1093</v>
      </c>
      <c r="AC311">
        <v>10</v>
      </c>
      <c r="AD311" s="3">
        <v>1</v>
      </c>
      <c r="AE311">
        <v>0</v>
      </c>
      <c r="AF311">
        <v>24</v>
      </c>
      <c r="AG311" s="5">
        <v>0</v>
      </c>
      <c r="AH311" s="5">
        <v>0.1</v>
      </c>
      <c r="AI311" s="5">
        <v>0</v>
      </c>
      <c r="AJ311" s="3">
        <v>696</v>
      </c>
      <c r="AK311" s="5">
        <v>7.4074000000000001E-2</v>
      </c>
      <c r="AL311" s="5">
        <v>0.4</v>
      </c>
      <c r="AM311" s="5">
        <v>0.18518499999999999</v>
      </c>
      <c r="AN311" s="3">
        <v>1111</v>
      </c>
      <c r="AO311">
        <v>2</v>
      </c>
      <c r="AP311">
        <v>6</v>
      </c>
      <c r="AQ311" s="5">
        <v>0.33333333333333331</v>
      </c>
      <c r="AR311" s="5">
        <v>0.8</v>
      </c>
      <c r="AS311" s="5">
        <v>0.41666599999999998</v>
      </c>
      <c r="AT311" s="5">
        <v>830</v>
      </c>
    </row>
    <row r="312" spans="1:46" hidden="1">
      <c r="A312" t="str">
        <f>_xlfn.XLOOKUP(Table13[[#This Row],[SAP]],'Location List'!B:B,'Location List'!G:G)</f>
        <v>DFW NORTH</v>
      </c>
      <c r="B312" t="str">
        <f>LEFT(Table13[[#This Row],[Sap: Loaction]],4)</f>
        <v>1239</v>
      </c>
      <c r="C312" s="4" t="str">
        <f>_xlfn.XLOOKUP(Table13[[#This Row],[Employee]],'Location List'!M:M,'Location List'!N:N,"",0)</f>
        <v/>
      </c>
      <c r="D312" t="s">
        <v>973</v>
      </c>
      <c r="E312" t="s">
        <v>786</v>
      </c>
      <c r="F312" t="s">
        <v>582</v>
      </c>
      <c r="G312" s="3">
        <v>4</v>
      </c>
      <c r="H312" s="3">
        <v>1112</v>
      </c>
      <c r="I312">
        <v>724.65</v>
      </c>
      <c r="J312" t="s">
        <v>454</v>
      </c>
      <c r="K312" s="6">
        <v>11.84</v>
      </c>
      <c r="L312" s="6">
        <v>35</v>
      </c>
      <c r="M312" s="5">
        <v>0.3382857142857143</v>
      </c>
      <c r="N312" s="3">
        <v>965</v>
      </c>
      <c r="O312" s="10">
        <v>14</v>
      </c>
      <c r="P312" s="10">
        <v>106</v>
      </c>
      <c r="Q312" s="5">
        <v>0.13207547169811321</v>
      </c>
      <c r="R312" s="5">
        <v>0.19</v>
      </c>
      <c r="S312" s="5">
        <v>0.69513100000000005</v>
      </c>
      <c r="T312" s="3">
        <v>790</v>
      </c>
      <c r="U312" s="10">
        <v>1</v>
      </c>
      <c r="V312" s="10">
        <v>106</v>
      </c>
      <c r="W312" s="5">
        <v>9.433962264150943E-3</v>
      </c>
      <c r="X312" s="5">
        <v>0.05</v>
      </c>
      <c r="Y312" s="5">
        <v>0.18865999999999999</v>
      </c>
      <c r="Z312" s="3">
        <v>943</v>
      </c>
      <c r="AA312" s="11">
        <v>0.16666600000000001</v>
      </c>
      <c r="AB312" s="3">
        <v>1344</v>
      </c>
      <c r="AC312">
        <v>0</v>
      </c>
      <c r="AD312" s="3">
        <v>75</v>
      </c>
      <c r="AE312">
        <v>0</v>
      </c>
      <c r="AF312">
        <v>6</v>
      </c>
      <c r="AG312" s="5">
        <v>0</v>
      </c>
      <c r="AH312" s="5">
        <v>0.1</v>
      </c>
      <c r="AI312" s="5">
        <v>0</v>
      </c>
      <c r="AJ312" s="3">
        <v>696</v>
      </c>
      <c r="AK312" s="5">
        <v>0.25</v>
      </c>
      <c r="AL312" s="5">
        <v>0.4</v>
      </c>
      <c r="AM312" s="5">
        <v>0.625</v>
      </c>
      <c r="AN312" s="3">
        <v>812</v>
      </c>
      <c r="AO312">
        <v>5</v>
      </c>
      <c r="AP312">
        <v>5</v>
      </c>
      <c r="AQ312" s="5">
        <v>1</v>
      </c>
      <c r="AR312" s="5">
        <v>0.8</v>
      </c>
      <c r="AS312" s="5">
        <v>1.25</v>
      </c>
      <c r="AT312" s="5">
        <v>1</v>
      </c>
    </row>
    <row r="313" spans="1:46" hidden="1">
      <c r="A313" t="str">
        <f>_xlfn.XLOOKUP(Table13[[#This Row],[SAP]],'Location List'!B:B,'Location List'!G:G)</f>
        <v>MO/IA/NE</v>
      </c>
      <c r="B313" t="str">
        <f>LEFT(Table13[[#This Row],[Sap: Loaction]],4)</f>
        <v>4BSM</v>
      </c>
      <c r="C313" s="4" t="str">
        <f>_xlfn.XLOOKUP(Table13[[#This Row],[Employee]],'Location List'!M:M,'Location List'!N:N,"",0)</f>
        <v/>
      </c>
      <c r="D313" t="s">
        <v>973</v>
      </c>
      <c r="E313" t="s">
        <v>910</v>
      </c>
      <c r="F313" t="s">
        <v>529</v>
      </c>
      <c r="G313" s="3">
        <v>4</v>
      </c>
      <c r="H313" s="3">
        <v>1117</v>
      </c>
      <c r="I313">
        <v>726.25</v>
      </c>
      <c r="J313" t="s">
        <v>454</v>
      </c>
      <c r="K313" s="6">
        <v>10.96</v>
      </c>
      <c r="L313" s="6">
        <v>30</v>
      </c>
      <c r="M313" s="5">
        <v>0.36533333333333334</v>
      </c>
      <c r="N313" s="3">
        <v>947</v>
      </c>
      <c r="O313" s="10">
        <v>6</v>
      </c>
      <c r="P313" s="10">
        <v>70</v>
      </c>
      <c r="Q313" s="5">
        <v>8.5714285714285715E-2</v>
      </c>
      <c r="R313" s="5">
        <v>0.19</v>
      </c>
      <c r="S313" s="5">
        <v>0.45112600000000003</v>
      </c>
      <c r="T313" s="3">
        <v>1070</v>
      </c>
      <c r="U313" s="10">
        <v>1</v>
      </c>
      <c r="V313" s="10">
        <v>70</v>
      </c>
      <c r="W313" s="5">
        <v>1.4285714285714285E-2</v>
      </c>
      <c r="X313" s="5">
        <v>0.05</v>
      </c>
      <c r="Y313" s="5">
        <v>0.28570000000000001</v>
      </c>
      <c r="Z313" s="3">
        <v>822</v>
      </c>
      <c r="AA313" s="11">
        <v>1.166666</v>
      </c>
      <c r="AB313" s="3">
        <v>667</v>
      </c>
      <c r="AC313">
        <v>0</v>
      </c>
      <c r="AD313" s="3">
        <v>75</v>
      </c>
      <c r="AE313">
        <v>0</v>
      </c>
      <c r="AF313">
        <v>13</v>
      </c>
      <c r="AG313" s="5">
        <v>0</v>
      </c>
      <c r="AH313" s="5">
        <v>0.1</v>
      </c>
      <c r="AI313" s="5">
        <v>0</v>
      </c>
      <c r="AJ313" s="3">
        <v>696</v>
      </c>
      <c r="AK313" s="5">
        <v>8.3333333333333329E-2</v>
      </c>
      <c r="AL313" s="5">
        <v>0.4</v>
      </c>
      <c r="AM313" s="5">
        <v>0.20833199999999999</v>
      </c>
      <c r="AN313" s="3">
        <v>1093</v>
      </c>
      <c r="AO313">
        <v>2</v>
      </c>
      <c r="AP313">
        <v>2</v>
      </c>
      <c r="AQ313" s="5">
        <v>1</v>
      </c>
      <c r="AR313" s="5">
        <v>0.8</v>
      </c>
      <c r="AS313" s="5">
        <v>1.25</v>
      </c>
      <c r="AT313" s="5">
        <v>1</v>
      </c>
    </row>
    <row r="314" spans="1:46" hidden="1">
      <c r="A314" t="str">
        <f>_xlfn.XLOOKUP(Table13[[#This Row],[SAP]],'Location List'!B:B,'Location List'!G:G)</f>
        <v>MO/IA/NE</v>
      </c>
      <c r="B314" t="str">
        <f>LEFT(Table13[[#This Row],[Sap: Loaction]],4)</f>
        <v>4BSI</v>
      </c>
      <c r="C314" s="4" t="str">
        <f>_xlfn.XLOOKUP(Table13[[#This Row],[Employee]],'Location List'!M:M,'Location List'!N:N,"",0)</f>
        <v/>
      </c>
      <c r="D314" t="s">
        <v>973</v>
      </c>
      <c r="E314" t="s">
        <v>735</v>
      </c>
      <c r="F314" t="s">
        <v>581</v>
      </c>
      <c r="G314" s="3">
        <v>4</v>
      </c>
      <c r="H314" s="3">
        <v>1120</v>
      </c>
      <c r="I314">
        <v>727.3</v>
      </c>
      <c r="J314" t="s">
        <v>454</v>
      </c>
      <c r="K314" s="6">
        <v>3.46</v>
      </c>
      <c r="L314" s="6">
        <v>30</v>
      </c>
      <c r="M314" s="5">
        <v>0.11533333333333333</v>
      </c>
      <c r="N314" s="3">
        <v>1118</v>
      </c>
      <c r="O314" s="10">
        <v>3</v>
      </c>
      <c r="P314" s="10">
        <v>44</v>
      </c>
      <c r="Q314" s="5">
        <v>6.8181818181818177E-2</v>
      </c>
      <c r="R314" s="5">
        <v>0.19</v>
      </c>
      <c r="S314" s="5">
        <v>0.35884700000000003</v>
      </c>
      <c r="T314" s="3">
        <v>1154</v>
      </c>
      <c r="U314" s="10">
        <v>5</v>
      </c>
      <c r="V314" s="10">
        <v>44</v>
      </c>
      <c r="W314" s="5">
        <v>0.11363636363636363</v>
      </c>
      <c r="X314" s="5">
        <v>0.05</v>
      </c>
      <c r="Y314" s="5">
        <v>2.2727200000000001</v>
      </c>
      <c r="Z314" s="3">
        <v>17</v>
      </c>
      <c r="AA314" s="11">
        <v>0.71428499999999995</v>
      </c>
      <c r="AB314" s="3">
        <v>1028</v>
      </c>
      <c r="AC314">
        <v>0</v>
      </c>
      <c r="AD314" s="3">
        <v>75</v>
      </c>
      <c r="AE314">
        <v>0</v>
      </c>
      <c r="AF314">
        <v>9</v>
      </c>
      <c r="AG314" s="5">
        <v>0</v>
      </c>
      <c r="AH314" s="5">
        <v>0.1</v>
      </c>
      <c r="AI314" s="5">
        <v>0</v>
      </c>
      <c r="AJ314" s="3">
        <v>696</v>
      </c>
      <c r="AK314" s="5">
        <v>0.625</v>
      </c>
      <c r="AL314" s="5">
        <v>0.4</v>
      </c>
      <c r="AM314" s="5">
        <v>1.5625</v>
      </c>
      <c r="AN314" s="3">
        <v>222</v>
      </c>
      <c r="AO314">
        <v>0</v>
      </c>
      <c r="AP314">
        <v>1</v>
      </c>
      <c r="AQ314" s="5">
        <v>0</v>
      </c>
      <c r="AR314" s="5">
        <v>0.8</v>
      </c>
      <c r="AS314" s="5">
        <v>0</v>
      </c>
      <c r="AT314" s="5">
        <v>902</v>
      </c>
    </row>
    <row r="315" spans="1:46" hidden="1">
      <c r="A315" t="str">
        <f>_xlfn.XLOOKUP(Table13[[#This Row],[SAP]],'Location List'!B:B,'Location List'!G:G)</f>
        <v>KS/OK</v>
      </c>
      <c r="B315" t="str">
        <f>LEFT(Table13[[#This Row],[Sap: Loaction]],4)</f>
        <v>4781</v>
      </c>
      <c r="C315" s="4" t="str">
        <f>_xlfn.XLOOKUP(Table13[[#This Row],[Employee]],'Location List'!M:M,'Location List'!N:N,"",0)</f>
        <v/>
      </c>
      <c r="D315" t="s">
        <v>973</v>
      </c>
      <c r="E315" t="s">
        <v>715</v>
      </c>
      <c r="F315" t="s">
        <v>495</v>
      </c>
      <c r="G315" s="3">
        <v>4</v>
      </c>
      <c r="H315" s="3">
        <v>1127</v>
      </c>
      <c r="I315">
        <v>731.3</v>
      </c>
      <c r="J315" t="s">
        <v>454</v>
      </c>
      <c r="K315" s="6">
        <v>10.74</v>
      </c>
      <c r="L315" s="6">
        <v>40</v>
      </c>
      <c r="M315" s="5">
        <v>0.26850000000000002</v>
      </c>
      <c r="N315" s="3">
        <v>1023</v>
      </c>
      <c r="O315" s="10">
        <v>13</v>
      </c>
      <c r="P315" s="10">
        <v>155</v>
      </c>
      <c r="Q315" s="5">
        <v>8.387096774193549E-2</v>
      </c>
      <c r="R315" s="5">
        <v>0.19</v>
      </c>
      <c r="S315" s="5">
        <v>0.44142100000000001</v>
      </c>
      <c r="T315" s="3">
        <v>1086</v>
      </c>
      <c r="U315" s="10">
        <v>8</v>
      </c>
      <c r="V315" s="10">
        <v>155</v>
      </c>
      <c r="W315" s="5">
        <v>5.1612903225806452E-2</v>
      </c>
      <c r="X315" s="5">
        <v>0.05</v>
      </c>
      <c r="Y315" s="5">
        <v>1.03224</v>
      </c>
      <c r="Z315" s="3">
        <v>199</v>
      </c>
      <c r="AA315" s="11">
        <v>1.111111</v>
      </c>
      <c r="AB315" s="3">
        <v>712</v>
      </c>
      <c r="AC315">
        <v>8</v>
      </c>
      <c r="AD315" s="3">
        <v>36</v>
      </c>
      <c r="AE315">
        <v>1</v>
      </c>
      <c r="AF315">
        <v>21</v>
      </c>
      <c r="AG315" s="5">
        <v>4.7619047619047616E-2</v>
      </c>
      <c r="AH315" s="5">
        <v>0.1</v>
      </c>
      <c r="AI315" s="5">
        <v>0.47619</v>
      </c>
      <c r="AJ315" s="3">
        <v>647</v>
      </c>
      <c r="AK315" s="5">
        <v>0.27777766666666664</v>
      </c>
      <c r="AL315" s="5">
        <v>0.4</v>
      </c>
      <c r="AM315" s="5">
        <v>0.694442</v>
      </c>
      <c r="AN315" s="3">
        <v>787</v>
      </c>
      <c r="AO315">
        <v>0</v>
      </c>
      <c r="AP315">
        <v>0</v>
      </c>
      <c r="AQ315" s="5" t="s">
        <v>653</v>
      </c>
      <c r="AR315" s="5">
        <v>0.8</v>
      </c>
      <c r="AS315" s="5">
        <v>0</v>
      </c>
      <c r="AT315" s="5">
        <v>902</v>
      </c>
    </row>
    <row r="316" spans="1:46" hidden="1">
      <c r="A316" t="str">
        <f>_xlfn.XLOOKUP(Table13[[#This Row],[SAP]],'Location List'!B:B,'Location List'!G:G)</f>
        <v>DFW EAST</v>
      </c>
      <c r="B316" t="str">
        <f>LEFT(Table13[[#This Row],[Sap: Loaction]],4)</f>
        <v>0118</v>
      </c>
      <c r="C316" s="4" t="str">
        <f>_xlfn.XLOOKUP(Table13[[#This Row],[Employee]],'Location List'!M:M,'Location List'!N:N,"",0)</f>
        <v/>
      </c>
      <c r="D316" t="s">
        <v>973</v>
      </c>
      <c r="E316" t="s">
        <v>935</v>
      </c>
      <c r="F316" t="s">
        <v>531</v>
      </c>
      <c r="G316" s="3">
        <v>4</v>
      </c>
      <c r="H316" s="3">
        <v>1130</v>
      </c>
      <c r="I316">
        <v>732.35</v>
      </c>
      <c r="J316" t="s">
        <v>454</v>
      </c>
      <c r="K316" s="6">
        <v>4.7699999999999996</v>
      </c>
      <c r="L316" s="6">
        <v>40</v>
      </c>
      <c r="M316" s="5">
        <v>0.11924999999999999</v>
      </c>
      <c r="N316" s="3">
        <v>1115</v>
      </c>
      <c r="O316" s="10">
        <v>15</v>
      </c>
      <c r="P316" s="10">
        <v>99</v>
      </c>
      <c r="Q316" s="5">
        <v>0.15151515151515152</v>
      </c>
      <c r="R316" s="5">
        <v>0.19</v>
      </c>
      <c r="S316" s="5">
        <v>0.79744700000000002</v>
      </c>
      <c r="T316" s="3">
        <v>681</v>
      </c>
      <c r="U316" s="10">
        <v>5</v>
      </c>
      <c r="V316" s="10">
        <v>99</v>
      </c>
      <c r="W316" s="5">
        <v>5.0505050505050504E-2</v>
      </c>
      <c r="X316" s="5">
        <v>0.05</v>
      </c>
      <c r="Y316" s="5">
        <v>1.0101</v>
      </c>
      <c r="Z316" s="3">
        <v>216</v>
      </c>
      <c r="AA316" s="11">
        <v>0.78571400000000002</v>
      </c>
      <c r="AB316" s="3">
        <v>976</v>
      </c>
      <c r="AC316">
        <v>10</v>
      </c>
      <c r="AD316" s="3">
        <v>1</v>
      </c>
      <c r="AE316">
        <v>0</v>
      </c>
      <c r="AF316">
        <v>21</v>
      </c>
      <c r="AG316" s="5">
        <v>0</v>
      </c>
      <c r="AH316" s="5">
        <v>0.1</v>
      </c>
      <c r="AI316" s="5">
        <v>0</v>
      </c>
      <c r="AJ316" s="3">
        <v>696</v>
      </c>
      <c r="AK316" s="5">
        <v>0</v>
      </c>
      <c r="AL316" s="5">
        <v>0.4</v>
      </c>
      <c r="AM316" s="5">
        <v>0</v>
      </c>
      <c r="AN316" s="3">
        <v>1150</v>
      </c>
      <c r="AQ316" s="5"/>
      <c r="AR316" s="5">
        <v>0.8</v>
      </c>
      <c r="AS316" s="5">
        <v>0</v>
      </c>
      <c r="AT316" s="5">
        <v>902</v>
      </c>
    </row>
    <row r="317" spans="1:46" hidden="1">
      <c r="A317" t="str">
        <f>_xlfn.XLOOKUP(Table13[[#This Row],[SAP]],'Location List'!B:B,'Location List'!G:G)</f>
        <v>SOUTH TX/RGV</v>
      </c>
      <c r="B317" t="str">
        <f>LEFT(Table13[[#This Row],[Sap: Loaction]],4)</f>
        <v>598D</v>
      </c>
      <c r="C317" s="4" t="str">
        <f>_xlfn.XLOOKUP(Table13[[#This Row],[Employee]],'Location List'!M:M,'Location List'!N:N,"",0)</f>
        <v/>
      </c>
      <c r="D317" t="s">
        <v>973</v>
      </c>
      <c r="E317" t="s">
        <v>826</v>
      </c>
      <c r="F317" t="s">
        <v>574</v>
      </c>
      <c r="G317" s="3">
        <v>4</v>
      </c>
      <c r="H317" s="3">
        <v>1136</v>
      </c>
      <c r="I317">
        <v>736.15</v>
      </c>
      <c r="J317" t="s">
        <v>454</v>
      </c>
      <c r="K317" s="6">
        <v>-15.33</v>
      </c>
      <c r="L317" s="6">
        <v>40</v>
      </c>
      <c r="M317" s="5">
        <v>-0.38324999999999998</v>
      </c>
      <c r="N317" s="3">
        <v>1371</v>
      </c>
      <c r="O317" s="10">
        <v>8</v>
      </c>
      <c r="P317" s="10">
        <v>67</v>
      </c>
      <c r="Q317" s="5">
        <v>0.11940298507462686</v>
      </c>
      <c r="R317" s="5">
        <v>0.19</v>
      </c>
      <c r="S317" s="5">
        <v>0.62843099999999996</v>
      </c>
      <c r="T317" s="3">
        <v>864</v>
      </c>
      <c r="U317" s="10">
        <v>2</v>
      </c>
      <c r="V317" s="10">
        <v>67</v>
      </c>
      <c r="W317" s="5">
        <v>2.9850746268656716E-2</v>
      </c>
      <c r="X317" s="5">
        <v>0.05</v>
      </c>
      <c r="Y317" s="5">
        <v>0.59699999999999998</v>
      </c>
      <c r="Z317" s="3">
        <v>458</v>
      </c>
      <c r="AA317" s="11">
        <v>4.5</v>
      </c>
      <c r="AB317" s="3">
        <v>22</v>
      </c>
      <c r="AC317">
        <v>10</v>
      </c>
      <c r="AD317" s="3">
        <v>1</v>
      </c>
      <c r="AE317">
        <v>0</v>
      </c>
      <c r="AF317">
        <v>16</v>
      </c>
      <c r="AG317" s="5">
        <v>0</v>
      </c>
      <c r="AH317" s="5">
        <v>0.1</v>
      </c>
      <c r="AI317" s="5">
        <v>0</v>
      </c>
      <c r="AJ317" s="3">
        <v>696</v>
      </c>
      <c r="AK317" s="5">
        <v>0</v>
      </c>
      <c r="AL317" s="5">
        <v>0.4</v>
      </c>
      <c r="AM317" s="5">
        <v>0</v>
      </c>
      <c r="AN317" s="3">
        <v>1150</v>
      </c>
      <c r="AO317">
        <v>0</v>
      </c>
      <c r="AP317">
        <v>0</v>
      </c>
      <c r="AQ317" s="5" t="s">
        <v>653</v>
      </c>
      <c r="AR317" s="5">
        <v>0.8</v>
      </c>
      <c r="AS317" s="5">
        <v>0</v>
      </c>
      <c r="AT317" s="5">
        <v>902</v>
      </c>
    </row>
    <row r="318" spans="1:46">
      <c r="A318" t="str">
        <f>_xlfn.XLOOKUP(Table13[[#This Row],[SAP]],'Location List'!B:B,'Location List'!G:G)</f>
        <v>MO/IA/NE</v>
      </c>
      <c r="B318" t="str">
        <f>LEFT(Table13[[#This Row],[Sap: Loaction]],4)</f>
        <v>4ASN</v>
      </c>
      <c r="C318" s="4" t="str">
        <f>_xlfn.XLOOKUP(Table13[[#This Row],[Employee]],'Location List'!M:M,'Location List'!N:N,"",0)</f>
        <v/>
      </c>
      <c r="D318" t="s">
        <v>973</v>
      </c>
      <c r="E318" t="s">
        <v>673</v>
      </c>
      <c r="F318" t="s">
        <v>544</v>
      </c>
      <c r="G318" s="3">
        <v>4</v>
      </c>
      <c r="H318" s="3">
        <v>1137</v>
      </c>
      <c r="I318">
        <v>736.4</v>
      </c>
      <c r="J318" t="s">
        <v>454</v>
      </c>
      <c r="K318" s="6">
        <v>20.079999999999998</v>
      </c>
      <c r="L318" s="6">
        <v>40</v>
      </c>
      <c r="M318" s="5">
        <v>0.502</v>
      </c>
      <c r="N318" s="3">
        <v>855</v>
      </c>
      <c r="O318" s="10">
        <v>10</v>
      </c>
      <c r="P318" s="10">
        <v>108</v>
      </c>
      <c r="Q318" s="5">
        <v>9.2592592592592587E-2</v>
      </c>
      <c r="R318" s="5">
        <v>0.19</v>
      </c>
      <c r="S318" s="5">
        <v>0.48732599999999998</v>
      </c>
      <c r="T318" s="3">
        <v>1026</v>
      </c>
      <c r="U318" s="10">
        <v>1</v>
      </c>
      <c r="V318" s="10">
        <v>108</v>
      </c>
      <c r="W318" s="5">
        <v>9.2592592592592587E-3</v>
      </c>
      <c r="X318" s="5">
        <v>0.05</v>
      </c>
      <c r="Y318" s="5">
        <v>0.18518000000000001</v>
      </c>
      <c r="Z318" s="3">
        <v>954</v>
      </c>
      <c r="AA318" s="11">
        <v>0.230769</v>
      </c>
      <c r="AB318" s="3">
        <v>1334</v>
      </c>
      <c r="AC318">
        <v>10</v>
      </c>
      <c r="AD318" s="3">
        <v>1</v>
      </c>
      <c r="AE318">
        <v>1</v>
      </c>
      <c r="AF318">
        <v>12</v>
      </c>
      <c r="AG318" s="5">
        <v>8.3333333333333329E-2</v>
      </c>
      <c r="AH318" s="5">
        <v>0.1</v>
      </c>
      <c r="AI318" s="5">
        <v>0.83333000000000002</v>
      </c>
      <c r="AJ318" s="3">
        <v>535</v>
      </c>
      <c r="AK318" s="5">
        <v>0.2</v>
      </c>
      <c r="AL318" s="5">
        <v>0.4</v>
      </c>
      <c r="AM318" s="5">
        <v>0.5</v>
      </c>
      <c r="AN318" s="3">
        <v>937</v>
      </c>
      <c r="AO318">
        <v>3</v>
      </c>
      <c r="AP318">
        <v>3</v>
      </c>
      <c r="AQ318" s="5">
        <v>1</v>
      </c>
      <c r="AR318" s="5">
        <v>0.8</v>
      </c>
      <c r="AS318" s="5">
        <v>1.25</v>
      </c>
      <c r="AT318" s="5">
        <v>1</v>
      </c>
    </row>
    <row r="319" spans="1:46" hidden="1">
      <c r="A319" t="str">
        <f>_xlfn.XLOOKUP(Table13[[#This Row],[SAP]],'Location List'!B:B,'Location List'!G:G)</f>
        <v>MO/IA/NE</v>
      </c>
      <c r="B319" t="str">
        <f>LEFT(Table13[[#This Row],[Sap: Loaction]],4)</f>
        <v>3ISR</v>
      </c>
      <c r="C319" s="4" t="str">
        <f>_xlfn.XLOOKUP(Table13[[#This Row],[Employee]],'Location List'!M:M,'Location List'!N:N,"",0)</f>
        <v>RSM</v>
      </c>
      <c r="D319" t="s">
        <v>973</v>
      </c>
      <c r="E319" t="s">
        <v>613</v>
      </c>
      <c r="F319" t="s">
        <v>493</v>
      </c>
      <c r="G319" s="3">
        <v>4</v>
      </c>
      <c r="H319" s="3">
        <v>1140</v>
      </c>
      <c r="I319">
        <v>737.5</v>
      </c>
      <c r="J319" t="s">
        <v>454</v>
      </c>
      <c r="K319" s="6">
        <v>19.579999999999998</v>
      </c>
      <c r="L319" s="6">
        <v>40</v>
      </c>
      <c r="M319" s="5">
        <v>0.48949999999999999</v>
      </c>
      <c r="N319" s="3">
        <v>867</v>
      </c>
      <c r="O319" s="10">
        <v>3</v>
      </c>
      <c r="P319" s="10">
        <v>121</v>
      </c>
      <c r="Q319" s="5">
        <v>2.4793388429752067E-2</v>
      </c>
      <c r="R319" s="5">
        <v>0.19</v>
      </c>
      <c r="S319" s="5">
        <v>0.13048899999999999</v>
      </c>
      <c r="T319" s="3">
        <v>1298</v>
      </c>
      <c r="U319" s="10">
        <v>1</v>
      </c>
      <c r="V319" s="10">
        <v>121</v>
      </c>
      <c r="W319" s="5">
        <v>8.2644628099173556E-3</v>
      </c>
      <c r="X319" s="5">
        <v>0.05</v>
      </c>
      <c r="Y319" s="5">
        <v>0.16528000000000001</v>
      </c>
      <c r="Z319" s="3">
        <v>967</v>
      </c>
      <c r="AA319" s="11">
        <v>0.33333299999999999</v>
      </c>
      <c r="AB319" s="3">
        <v>1283</v>
      </c>
      <c r="AC319">
        <v>9.5</v>
      </c>
      <c r="AD319" s="3">
        <v>14</v>
      </c>
      <c r="AE319">
        <v>5</v>
      </c>
      <c r="AF319">
        <v>18</v>
      </c>
      <c r="AG319" s="5">
        <v>0.27777777777777779</v>
      </c>
      <c r="AH319" s="5">
        <v>0.1</v>
      </c>
      <c r="AI319" s="5">
        <v>2.7777699999999999</v>
      </c>
      <c r="AJ319" s="3">
        <v>177</v>
      </c>
      <c r="AK319" s="5">
        <v>0.62820450000000005</v>
      </c>
      <c r="AL319" s="5">
        <v>0.4</v>
      </c>
      <c r="AM319" s="5">
        <v>1.5705100000000001</v>
      </c>
      <c r="AN319" s="3">
        <v>221</v>
      </c>
      <c r="AO319">
        <v>7</v>
      </c>
      <c r="AP319">
        <v>12</v>
      </c>
      <c r="AQ319" s="5">
        <v>0.58333333333333337</v>
      </c>
      <c r="AR319" s="5">
        <v>0.8</v>
      </c>
      <c r="AS319" s="5">
        <v>0.72916599999999998</v>
      </c>
      <c r="AT319" s="5">
        <v>728</v>
      </c>
    </row>
    <row r="320" spans="1:46" hidden="1">
      <c r="A320" t="str">
        <f>_xlfn.XLOOKUP(Table13[[#This Row],[SAP]],'Location List'!B:B,'Location List'!G:G)</f>
        <v>SA/HILL COUNTRY</v>
      </c>
      <c r="B320" t="str">
        <f>LEFT(Table13[[#This Row],[Sap: Loaction]],4)</f>
        <v>776D</v>
      </c>
      <c r="C320" s="4" t="str">
        <f>_xlfn.XLOOKUP(Table13[[#This Row],[Employee]],'Location List'!M:M,'Location List'!N:N,"",0)</f>
        <v/>
      </c>
      <c r="D320" t="s">
        <v>973</v>
      </c>
      <c r="E320" t="s">
        <v>848</v>
      </c>
      <c r="F320" t="s">
        <v>516</v>
      </c>
      <c r="G320" s="3">
        <v>4</v>
      </c>
      <c r="H320" s="3">
        <v>1141</v>
      </c>
      <c r="I320">
        <v>737.7</v>
      </c>
      <c r="J320" t="s">
        <v>454</v>
      </c>
      <c r="K320" s="6">
        <v>10.119999999999999</v>
      </c>
      <c r="L320" s="6">
        <v>35</v>
      </c>
      <c r="M320" s="5">
        <v>0.28914285714285715</v>
      </c>
      <c r="N320" s="3">
        <v>1005</v>
      </c>
      <c r="O320" s="10">
        <v>6</v>
      </c>
      <c r="P320" s="10">
        <v>64</v>
      </c>
      <c r="Q320" s="5">
        <v>9.375E-2</v>
      </c>
      <c r="R320" s="5">
        <v>0.19</v>
      </c>
      <c r="S320" s="5">
        <v>0.493421</v>
      </c>
      <c r="T320" s="3">
        <v>1019</v>
      </c>
      <c r="U320" s="10">
        <v>1</v>
      </c>
      <c r="V320" s="10">
        <v>64</v>
      </c>
      <c r="W320" s="5">
        <v>1.5625E-2</v>
      </c>
      <c r="X320" s="5">
        <v>0.05</v>
      </c>
      <c r="Y320" s="5">
        <v>0.3125</v>
      </c>
      <c r="Z320" s="3">
        <v>791</v>
      </c>
      <c r="AA320" s="11">
        <v>0.33333299999999999</v>
      </c>
      <c r="AB320" s="3">
        <v>1283</v>
      </c>
      <c r="AC320">
        <v>0</v>
      </c>
      <c r="AD320" s="3">
        <v>75</v>
      </c>
      <c r="AE320">
        <v>1</v>
      </c>
      <c r="AF320">
        <v>11</v>
      </c>
      <c r="AG320" s="5">
        <v>9.0909090909090912E-2</v>
      </c>
      <c r="AH320" s="5">
        <v>0.1</v>
      </c>
      <c r="AI320" s="5">
        <v>0.90908999999999995</v>
      </c>
      <c r="AJ320" s="3">
        <v>515</v>
      </c>
      <c r="AK320" s="5">
        <v>0.66666650000000005</v>
      </c>
      <c r="AL320" s="5">
        <v>0.4</v>
      </c>
      <c r="AM320" s="5">
        <v>1.6666650000000001</v>
      </c>
      <c r="AN320" s="3">
        <v>169</v>
      </c>
      <c r="AO320">
        <v>1</v>
      </c>
      <c r="AP320">
        <v>2</v>
      </c>
      <c r="AQ320">
        <v>0.5</v>
      </c>
      <c r="AR320" s="5">
        <v>0.8</v>
      </c>
      <c r="AS320" s="5">
        <v>0.625</v>
      </c>
      <c r="AT320" s="5">
        <v>741</v>
      </c>
    </row>
    <row r="321" spans="1:46" hidden="1">
      <c r="A321" t="str">
        <f>_xlfn.XLOOKUP(Table13[[#This Row],[SAP]],'Location List'!B:B,'Location List'!G:G)</f>
        <v>KS/OK</v>
      </c>
      <c r="B321" t="str">
        <f>LEFT(Table13[[#This Row],[Sap: Loaction]],4)</f>
        <v>849C</v>
      </c>
      <c r="C321" s="4" t="str">
        <f>_xlfn.XLOOKUP(Table13[[#This Row],[Employee]],'Location List'!M:M,'Location List'!N:N,"",0)</f>
        <v/>
      </c>
      <c r="D321" t="s">
        <v>973</v>
      </c>
      <c r="E321" t="s">
        <v>790</v>
      </c>
      <c r="F321" t="s">
        <v>526</v>
      </c>
      <c r="G321" s="3">
        <v>4</v>
      </c>
      <c r="H321" s="3">
        <v>1146</v>
      </c>
      <c r="I321">
        <v>738.45</v>
      </c>
      <c r="J321" t="s">
        <v>454</v>
      </c>
      <c r="K321" s="6">
        <v>14.34</v>
      </c>
      <c r="L321" s="6">
        <v>40</v>
      </c>
      <c r="M321" s="5">
        <v>0.35849999999999999</v>
      </c>
      <c r="N321" s="3">
        <v>953</v>
      </c>
      <c r="O321" s="10">
        <v>9</v>
      </c>
      <c r="P321" s="10">
        <v>79</v>
      </c>
      <c r="Q321" s="5">
        <v>0.11392405063291139</v>
      </c>
      <c r="R321" s="5">
        <v>0.19</v>
      </c>
      <c r="S321" s="5">
        <v>0.59960000000000002</v>
      </c>
      <c r="T321" s="3">
        <v>901</v>
      </c>
      <c r="U321" s="10">
        <v>1</v>
      </c>
      <c r="V321" s="10">
        <v>79</v>
      </c>
      <c r="W321" s="5">
        <v>1.2658227848101266E-2</v>
      </c>
      <c r="X321" s="5">
        <v>0.05</v>
      </c>
      <c r="Y321" s="5">
        <v>0.25316</v>
      </c>
      <c r="Z321" s="3">
        <v>866</v>
      </c>
      <c r="AA321" s="11">
        <v>1.142857</v>
      </c>
      <c r="AB321" s="3">
        <v>683</v>
      </c>
      <c r="AC321">
        <v>9</v>
      </c>
      <c r="AD321" s="3">
        <v>22</v>
      </c>
      <c r="AE321">
        <v>0</v>
      </c>
      <c r="AF321">
        <v>6</v>
      </c>
      <c r="AG321" s="5">
        <v>0</v>
      </c>
      <c r="AH321" s="5">
        <v>0.1</v>
      </c>
      <c r="AI321" s="5">
        <v>0</v>
      </c>
      <c r="AJ321" s="3">
        <v>696</v>
      </c>
      <c r="AK321" s="5">
        <v>0.222222</v>
      </c>
      <c r="AL321" s="5">
        <v>0.4</v>
      </c>
      <c r="AM321" s="5">
        <v>0.55555500000000002</v>
      </c>
      <c r="AN321" s="3">
        <v>894</v>
      </c>
      <c r="AO321">
        <v>3</v>
      </c>
      <c r="AP321">
        <v>4</v>
      </c>
      <c r="AQ321" s="5">
        <v>0.75</v>
      </c>
      <c r="AR321" s="5">
        <v>0.8</v>
      </c>
      <c r="AS321" s="5">
        <v>0.9375</v>
      </c>
      <c r="AT321" s="5">
        <v>644</v>
      </c>
    </row>
    <row r="322" spans="1:46" hidden="1">
      <c r="A322" t="str">
        <f>_xlfn.XLOOKUP(Table13[[#This Row],[SAP]],'Location List'!B:B,'Location List'!G:G)</f>
        <v>SOUTH TX/RGV</v>
      </c>
      <c r="B322" t="str">
        <f>LEFT(Table13[[#This Row],[Sap: Loaction]],4)</f>
        <v>598D</v>
      </c>
      <c r="C322" s="4" t="str">
        <f>_xlfn.XLOOKUP(Table13[[#This Row],[Employee]],'Location List'!M:M,'Location List'!N:N,"",0)</f>
        <v/>
      </c>
      <c r="D322" t="s">
        <v>973</v>
      </c>
      <c r="E322" t="s">
        <v>767</v>
      </c>
      <c r="F322" t="s">
        <v>574</v>
      </c>
      <c r="G322" s="3">
        <v>4</v>
      </c>
      <c r="H322" s="3">
        <v>1149</v>
      </c>
      <c r="I322">
        <v>741.6</v>
      </c>
      <c r="J322" t="s">
        <v>454</v>
      </c>
      <c r="K322" s="6">
        <v>-12.21</v>
      </c>
      <c r="L322" s="6">
        <v>40</v>
      </c>
      <c r="M322" s="5">
        <v>-0.30525000000000002</v>
      </c>
      <c r="N322" s="3">
        <v>1352</v>
      </c>
      <c r="O322" s="10">
        <v>5</v>
      </c>
      <c r="P322" s="10">
        <v>65</v>
      </c>
      <c r="Q322" s="5">
        <v>7.6923076923076927E-2</v>
      </c>
      <c r="R322" s="5">
        <v>0.19</v>
      </c>
      <c r="S322" s="5">
        <v>0.40485700000000002</v>
      </c>
      <c r="T322" s="3">
        <v>1111</v>
      </c>
      <c r="U322" s="10">
        <v>3</v>
      </c>
      <c r="V322" s="10">
        <v>65</v>
      </c>
      <c r="W322" s="5">
        <v>4.6153846153846156E-2</v>
      </c>
      <c r="X322" s="5">
        <v>0.05</v>
      </c>
      <c r="Y322" s="5">
        <v>0.92305999999999999</v>
      </c>
      <c r="Z322" s="3">
        <v>260</v>
      </c>
      <c r="AA322" s="11">
        <v>0.8</v>
      </c>
      <c r="AB322" s="3">
        <v>958</v>
      </c>
      <c r="AC322">
        <v>10</v>
      </c>
      <c r="AD322" s="3">
        <v>1</v>
      </c>
      <c r="AE322">
        <v>0</v>
      </c>
      <c r="AF322">
        <v>11</v>
      </c>
      <c r="AG322" s="5">
        <v>0</v>
      </c>
      <c r="AH322" s="5">
        <v>0.1</v>
      </c>
      <c r="AI322" s="5">
        <v>0</v>
      </c>
      <c r="AJ322" s="3">
        <v>696</v>
      </c>
      <c r="AK322" s="5">
        <v>1</v>
      </c>
      <c r="AL322" s="5">
        <v>0.4</v>
      </c>
      <c r="AM322" s="5">
        <v>2.5</v>
      </c>
      <c r="AN322" s="3">
        <v>1</v>
      </c>
      <c r="AO322">
        <v>0</v>
      </c>
      <c r="AP322">
        <v>3</v>
      </c>
      <c r="AQ322" s="5">
        <v>0</v>
      </c>
      <c r="AR322" s="5">
        <v>0.8</v>
      </c>
      <c r="AS322" s="5">
        <v>0</v>
      </c>
      <c r="AT322" s="5">
        <v>902</v>
      </c>
    </row>
    <row r="323" spans="1:46" hidden="1">
      <c r="A323" t="str">
        <f>_xlfn.XLOOKUP(Table13[[#This Row],[SAP]],'Location List'!B:B,'Location List'!G:G)</f>
        <v>KS/OK</v>
      </c>
      <c r="B323" t="str">
        <f>LEFT(Table13[[#This Row],[Sap: Loaction]],4)</f>
        <v>4789</v>
      </c>
      <c r="C323" s="4" t="str">
        <f>_xlfn.XLOOKUP(Table13[[#This Row],[Employee]],'Location List'!M:M,'Location List'!N:N,"",0)</f>
        <v/>
      </c>
      <c r="D323" t="s">
        <v>973</v>
      </c>
      <c r="E323" t="s">
        <v>678</v>
      </c>
      <c r="F323" t="s">
        <v>501</v>
      </c>
      <c r="G323" s="3">
        <v>5</v>
      </c>
      <c r="H323" s="3">
        <v>1155</v>
      </c>
      <c r="I323">
        <v>746.45</v>
      </c>
      <c r="J323" t="s">
        <v>454</v>
      </c>
      <c r="K323" s="6">
        <v>4.3499999999999996</v>
      </c>
      <c r="L323" s="6">
        <v>40</v>
      </c>
      <c r="M323" s="5">
        <v>0.10875</v>
      </c>
      <c r="N323" s="3">
        <v>1124</v>
      </c>
      <c r="O323" s="10">
        <v>7</v>
      </c>
      <c r="P323" s="10">
        <v>74</v>
      </c>
      <c r="Q323" s="5">
        <v>9.45945945945946E-2</v>
      </c>
      <c r="R323" s="5">
        <v>0.19</v>
      </c>
      <c r="S323" s="5">
        <v>0.497863</v>
      </c>
      <c r="T323" s="3">
        <v>1014</v>
      </c>
      <c r="U323" s="10">
        <v>0</v>
      </c>
      <c r="V323" s="10">
        <v>74</v>
      </c>
      <c r="W323" s="5">
        <v>0</v>
      </c>
      <c r="X323" s="5">
        <v>0.05</v>
      </c>
      <c r="Y323" s="5">
        <v>0</v>
      </c>
      <c r="Z323" s="3">
        <v>994</v>
      </c>
      <c r="AA323" s="11">
        <v>0.5</v>
      </c>
      <c r="AB323" s="3">
        <v>1172</v>
      </c>
      <c r="AC323">
        <v>9.75</v>
      </c>
      <c r="AD323" s="3">
        <v>7</v>
      </c>
      <c r="AE323">
        <v>3</v>
      </c>
      <c r="AF323">
        <v>13</v>
      </c>
      <c r="AG323" s="5">
        <v>0.23076923076923078</v>
      </c>
      <c r="AH323" s="5">
        <v>0.1</v>
      </c>
      <c r="AI323" s="5">
        <v>2.30769</v>
      </c>
      <c r="AJ323" s="3">
        <v>233</v>
      </c>
      <c r="AK323" s="5">
        <v>0.5</v>
      </c>
      <c r="AL323" s="5">
        <v>0.4</v>
      </c>
      <c r="AM323" s="5">
        <v>1.25</v>
      </c>
      <c r="AN323" s="3">
        <v>326</v>
      </c>
      <c r="AO323">
        <v>0</v>
      </c>
      <c r="AP323">
        <v>2</v>
      </c>
      <c r="AQ323" s="5">
        <v>0</v>
      </c>
      <c r="AR323" s="5">
        <v>0.8</v>
      </c>
      <c r="AS323" s="5">
        <v>0</v>
      </c>
      <c r="AT323" s="5">
        <v>902</v>
      </c>
    </row>
    <row r="324" spans="1:46" hidden="1">
      <c r="A324" t="str">
        <f>_xlfn.XLOOKUP(Table13[[#This Row],[SAP]],'Location List'!B:B,'Location List'!G:G)</f>
        <v>CENTRAL TEXAS</v>
      </c>
      <c r="B324" t="str">
        <f>LEFT(Table13[[#This Row],[Sap: Loaction]],4)</f>
        <v>1FSH</v>
      </c>
      <c r="C324" s="4" t="str">
        <f>_xlfn.XLOOKUP(Table13[[#This Row],[Employee]],'Location List'!M:M,'Location List'!N:N,"",0)</f>
        <v/>
      </c>
      <c r="D324" t="s">
        <v>973</v>
      </c>
      <c r="E324" t="s">
        <v>729</v>
      </c>
      <c r="F324" t="s">
        <v>508</v>
      </c>
      <c r="G324" s="3">
        <v>5</v>
      </c>
      <c r="H324" s="3">
        <v>1168</v>
      </c>
      <c r="I324">
        <v>755.35</v>
      </c>
      <c r="J324" t="s">
        <v>454</v>
      </c>
      <c r="K324" s="6">
        <v>-29.67</v>
      </c>
      <c r="L324" s="6">
        <v>40</v>
      </c>
      <c r="M324" s="5">
        <v>-0.74175000000000002</v>
      </c>
      <c r="N324" s="3">
        <v>1420</v>
      </c>
      <c r="O324" s="10">
        <v>3</v>
      </c>
      <c r="P324" s="10">
        <v>78</v>
      </c>
      <c r="Q324" s="5">
        <v>3.8461538461538464E-2</v>
      </c>
      <c r="R324" s="5">
        <v>0.19</v>
      </c>
      <c r="S324" s="5">
        <v>0.20242599999999999</v>
      </c>
      <c r="T324" s="3">
        <v>1259</v>
      </c>
      <c r="U324" s="10">
        <v>1</v>
      </c>
      <c r="V324" s="10">
        <v>78</v>
      </c>
      <c r="W324" s="5">
        <v>1.282051282051282E-2</v>
      </c>
      <c r="X324" s="5">
        <v>0.05</v>
      </c>
      <c r="Y324" s="5">
        <v>0.25640000000000002</v>
      </c>
      <c r="Z324" s="3">
        <v>862</v>
      </c>
      <c r="AA324" s="11">
        <v>1</v>
      </c>
      <c r="AB324" s="3">
        <v>741</v>
      </c>
      <c r="AC324">
        <v>9</v>
      </c>
      <c r="AD324" s="3">
        <v>22</v>
      </c>
      <c r="AE324">
        <v>6</v>
      </c>
      <c r="AF324">
        <v>11</v>
      </c>
      <c r="AG324" s="5">
        <v>0.54545454545454541</v>
      </c>
      <c r="AH324" s="5">
        <v>0.1</v>
      </c>
      <c r="AI324" s="5">
        <v>5.4545399999999997</v>
      </c>
      <c r="AJ324" s="3">
        <v>35</v>
      </c>
      <c r="AK324" s="5">
        <v>0.5</v>
      </c>
      <c r="AL324" s="5">
        <v>0.4</v>
      </c>
      <c r="AM324" s="5">
        <v>1.25</v>
      </c>
      <c r="AN324" s="3">
        <v>326</v>
      </c>
      <c r="AO324">
        <v>0</v>
      </c>
      <c r="AP324">
        <v>1</v>
      </c>
      <c r="AQ324" s="5">
        <v>0</v>
      </c>
      <c r="AR324" s="5">
        <v>0.8</v>
      </c>
      <c r="AS324" s="5">
        <v>0</v>
      </c>
      <c r="AT324" s="5">
        <v>902</v>
      </c>
    </row>
    <row r="325" spans="1:46" hidden="1">
      <c r="A325" t="str">
        <f>_xlfn.XLOOKUP(Table13[[#This Row],[SAP]],'Location List'!B:B,'Location List'!G:G)</f>
        <v>WEST TEXAS</v>
      </c>
      <c r="B325" t="str">
        <f>LEFT(Table13[[#This Row],[Sap: Loaction]],4)</f>
        <v>1LSS</v>
      </c>
      <c r="C325" s="4" t="str">
        <f>_xlfn.XLOOKUP(Table13[[#This Row],[Employee]],'Location List'!M:M,'Location List'!N:N,"",0)</f>
        <v/>
      </c>
      <c r="D325" t="s">
        <v>973</v>
      </c>
      <c r="E325" t="s">
        <v>660</v>
      </c>
      <c r="F325" t="s">
        <v>537</v>
      </c>
      <c r="G325" s="3">
        <v>5</v>
      </c>
      <c r="H325" s="3">
        <v>1169</v>
      </c>
      <c r="I325">
        <v>755.95</v>
      </c>
      <c r="J325" t="s">
        <v>454</v>
      </c>
      <c r="K325" s="6">
        <v>6.09</v>
      </c>
      <c r="L325" s="6">
        <v>35</v>
      </c>
      <c r="M325" s="5">
        <v>0.17399999999999999</v>
      </c>
      <c r="N325" s="3">
        <v>1085</v>
      </c>
      <c r="O325" s="10">
        <v>3</v>
      </c>
      <c r="P325" s="10">
        <v>26</v>
      </c>
      <c r="Q325" s="5">
        <v>0.11538461538461539</v>
      </c>
      <c r="R325" s="5">
        <v>0.19</v>
      </c>
      <c r="S325" s="5">
        <v>0.60728400000000005</v>
      </c>
      <c r="T325" s="3">
        <v>892</v>
      </c>
      <c r="U325" s="10">
        <v>1</v>
      </c>
      <c r="V325" s="10">
        <v>26</v>
      </c>
      <c r="W325" s="5">
        <v>3.8461538461538464E-2</v>
      </c>
      <c r="X325" s="5">
        <v>0.05</v>
      </c>
      <c r="Y325" s="5">
        <v>0.76922000000000001</v>
      </c>
      <c r="Z325" s="3">
        <v>343</v>
      </c>
      <c r="AA325" s="11">
        <v>0.71428499999999995</v>
      </c>
      <c r="AB325" s="3">
        <v>1028</v>
      </c>
      <c r="AC325">
        <v>5</v>
      </c>
      <c r="AD325" s="3">
        <v>62</v>
      </c>
      <c r="AE325">
        <v>1</v>
      </c>
      <c r="AF325">
        <v>9</v>
      </c>
      <c r="AG325" s="5">
        <v>0.1111111111111111</v>
      </c>
      <c r="AH325" s="5">
        <v>0.1</v>
      </c>
      <c r="AI325" s="5">
        <v>1.11111</v>
      </c>
      <c r="AJ325" s="3">
        <v>442</v>
      </c>
      <c r="AK325" s="5" t="s">
        <v>653</v>
      </c>
      <c r="AL325" s="5">
        <v>0.4</v>
      </c>
      <c r="AM325" s="5">
        <v>0</v>
      </c>
      <c r="AN325" s="3">
        <v>1150</v>
      </c>
      <c r="AO325">
        <v>0</v>
      </c>
      <c r="AP325">
        <v>0</v>
      </c>
      <c r="AQ325" s="5" t="s">
        <v>653</v>
      </c>
      <c r="AR325" s="5">
        <v>0.8</v>
      </c>
      <c r="AS325" s="5">
        <v>0</v>
      </c>
      <c r="AT325" s="5">
        <v>902</v>
      </c>
    </row>
    <row r="326" spans="1:46">
      <c r="A326" t="str">
        <f>_xlfn.XLOOKUP(Table13[[#This Row],[SAP]],'Location List'!B:B,'Location List'!G:G)</f>
        <v>DFW EAST</v>
      </c>
      <c r="B326" t="str">
        <f>LEFT(Table13[[#This Row],[Sap: Loaction]],4)</f>
        <v>0115</v>
      </c>
      <c r="C326" s="4" t="str">
        <f>_xlfn.XLOOKUP(Table13[[#This Row],[Employee]],'Location List'!M:M,'Location List'!N:N,"",0)</f>
        <v/>
      </c>
      <c r="D326" t="s">
        <v>973</v>
      </c>
      <c r="E326" t="s">
        <v>927</v>
      </c>
      <c r="F326" t="s">
        <v>530</v>
      </c>
      <c r="G326" s="3">
        <v>5</v>
      </c>
      <c r="H326" s="3">
        <v>1173</v>
      </c>
      <c r="I326">
        <v>757.65</v>
      </c>
      <c r="J326" t="s">
        <v>454</v>
      </c>
      <c r="K326" s="6">
        <v>40.46</v>
      </c>
      <c r="L326" s="6">
        <v>40</v>
      </c>
      <c r="M326" s="5">
        <v>1.0115000000000001</v>
      </c>
      <c r="N326" s="3">
        <v>485</v>
      </c>
      <c r="O326" s="10">
        <v>10</v>
      </c>
      <c r="P326" s="10">
        <v>77</v>
      </c>
      <c r="Q326" s="5">
        <v>0.12987012987012986</v>
      </c>
      <c r="R326" s="5">
        <v>0.19</v>
      </c>
      <c r="S326" s="5">
        <v>0.68352599999999997</v>
      </c>
      <c r="T326" s="3">
        <v>807</v>
      </c>
      <c r="U326" s="10">
        <v>1</v>
      </c>
      <c r="V326" s="10">
        <v>77</v>
      </c>
      <c r="W326" s="5">
        <v>1.2987012987012988E-2</v>
      </c>
      <c r="X326" s="5">
        <v>0.05</v>
      </c>
      <c r="Y326" s="5">
        <v>0.25974000000000003</v>
      </c>
      <c r="Z326" s="3">
        <v>855</v>
      </c>
      <c r="AA326" s="11">
        <v>0.33333299999999999</v>
      </c>
      <c r="AB326" s="3">
        <v>1283</v>
      </c>
      <c r="AC326">
        <v>10</v>
      </c>
      <c r="AD326" s="3">
        <v>1</v>
      </c>
      <c r="AE326">
        <v>0</v>
      </c>
      <c r="AF326">
        <v>11</v>
      </c>
      <c r="AG326" s="5">
        <v>0</v>
      </c>
      <c r="AH326" s="5">
        <v>0.1</v>
      </c>
      <c r="AI326" s="5">
        <v>0</v>
      </c>
      <c r="AJ326" s="3">
        <v>696</v>
      </c>
      <c r="AK326" s="5">
        <v>0</v>
      </c>
      <c r="AL326" s="5">
        <v>0.4</v>
      </c>
      <c r="AM326" s="5">
        <v>0</v>
      </c>
      <c r="AN326" s="3">
        <v>1150</v>
      </c>
      <c r="AQ326" s="5"/>
      <c r="AR326" s="5">
        <v>0.8</v>
      </c>
      <c r="AS326" s="5">
        <v>0</v>
      </c>
      <c r="AT326" s="5">
        <v>902</v>
      </c>
    </row>
    <row r="327" spans="1:46" hidden="1">
      <c r="A327" t="str">
        <f>_xlfn.XLOOKUP(Table13[[#This Row],[SAP]],'Location List'!B:B,'Location List'!G:G)</f>
        <v>SA/HILL COUNTRY</v>
      </c>
      <c r="B327" t="str">
        <f>LEFT(Table13[[#This Row],[Sap: Loaction]],4)</f>
        <v>1ESD</v>
      </c>
      <c r="C327" s="4" t="str">
        <f>_xlfn.XLOOKUP(Table13[[#This Row],[Employee]],'Location List'!M:M,'Location List'!N:N,"",0)</f>
        <v>RSM</v>
      </c>
      <c r="D327" t="s">
        <v>973</v>
      </c>
      <c r="E327" t="s">
        <v>917</v>
      </c>
      <c r="F327" t="s">
        <v>573</v>
      </c>
      <c r="G327" s="3">
        <v>5</v>
      </c>
      <c r="H327" s="3">
        <v>1176</v>
      </c>
      <c r="I327">
        <v>759.1</v>
      </c>
      <c r="J327" t="s">
        <v>454</v>
      </c>
      <c r="K327" s="6">
        <v>-6.34</v>
      </c>
      <c r="L327" s="6">
        <v>40</v>
      </c>
      <c r="M327" s="5">
        <v>-0.1585</v>
      </c>
      <c r="N327" s="3">
        <v>1314</v>
      </c>
      <c r="O327" s="10">
        <v>3</v>
      </c>
      <c r="P327" s="10">
        <v>43</v>
      </c>
      <c r="Q327" s="5">
        <v>6.9767441860465115E-2</v>
      </c>
      <c r="R327" s="5">
        <v>0.19</v>
      </c>
      <c r="S327" s="5">
        <v>0.36719400000000002</v>
      </c>
      <c r="T327" s="3">
        <v>1147</v>
      </c>
      <c r="U327" s="10">
        <v>0</v>
      </c>
      <c r="V327" s="10">
        <v>43</v>
      </c>
      <c r="W327" s="5">
        <v>0</v>
      </c>
      <c r="X327" s="5">
        <v>0.05</v>
      </c>
      <c r="Y327" s="5">
        <v>0</v>
      </c>
      <c r="Z327" s="3">
        <v>994</v>
      </c>
      <c r="AA327" s="11">
        <v>0.375</v>
      </c>
      <c r="AB327" s="3">
        <v>1272</v>
      </c>
      <c r="AC327">
        <v>9.5</v>
      </c>
      <c r="AD327" s="3">
        <v>14</v>
      </c>
      <c r="AE327">
        <v>0</v>
      </c>
      <c r="AF327">
        <v>4</v>
      </c>
      <c r="AG327" s="5">
        <v>0</v>
      </c>
      <c r="AH327" s="5">
        <v>0.1</v>
      </c>
      <c r="AI327" s="5">
        <v>0</v>
      </c>
      <c r="AJ327" s="3">
        <v>696</v>
      </c>
      <c r="AK327" s="5">
        <v>1</v>
      </c>
      <c r="AL327" s="5">
        <v>0.4</v>
      </c>
      <c r="AM327" s="5">
        <v>2.5</v>
      </c>
      <c r="AN327" s="3">
        <v>1</v>
      </c>
      <c r="AO327">
        <v>1</v>
      </c>
      <c r="AP327">
        <v>1</v>
      </c>
      <c r="AQ327" s="5">
        <v>1</v>
      </c>
      <c r="AR327" s="5">
        <v>0.8</v>
      </c>
      <c r="AS327" s="5">
        <v>1.25</v>
      </c>
      <c r="AT327" s="5">
        <v>1</v>
      </c>
    </row>
    <row r="328" spans="1:46" hidden="1">
      <c r="A328" t="str">
        <f>_xlfn.XLOOKUP(Table13[[#This Row],[SAP]],'Location List'!B:B,'Location List'!G:G)</f>
        <v>MO/IA/NE</v>
      </c>
      <c r="B328" t="str">
        <f>LEFT(Table13[[#This Row],[Sap: Loaction]],4)</f>
        <v>4ASP</v>
      </c>
      <c r="C328" s="4" t="str">
        <f>_xlfn.XLOOKUP(Table13[[#This Row],[Employee]],'Location List'!M:M,'Location List'!N:N,"",0)</f>
        <v>RSM</v>
      </c>
      <c r="D328" t="s">
        <v>973</v>
      </c>
      <c r="E328" t="s">
        <v>794</v>
      </c>
      <c r="F328" t="s">
        <v>536</v>
      </c>
      <c r="G328" s="3">
        <v>5</v>
      </c>
      <c r="H328" s="3">
        <v>1180</v>
      </c>
      <c r="I328">
        <v>762.8</v>
      </c>
      <c r="J328" t="s">
        <v>454</v>
      </c>
      <c r="K328" s="6">
        <v>-2.39</v>
      </c>
      <c r="L328" s="6">
        <v>40.000000000000007</v>
      </c>
      <c r="M328" s="5">
        <v>-5.9749999999999998E-2</v>
      </c>
      <c r="N328" s="3">
        <v>1270</v>
      </c>
      <c r="O328" s="10">
        <v>0</v>
      </c>
      <c r="P328" s="10">
        <v>46</v>
      </c>
      <c r="Q328" s="5">
        <v>0</v>
      </c>
      <c r="R328" s="5">
        <v>0.19</v>
      </c>
      <c r="S328" s="5">
        <v>0</v>
      </c>
      <c r="T328" s="3">
        <v>1332</v>
      </c>
      <c r="U328" s="10">
        <v>2</v>
      </c>
      <c r="V328" s="10">
        <v>46</v>
      </c>
      <c r="W328" s="5">
        <v>4.3478260869565216E-2</v>
      </c>
      <c r="X328" s="5">
        <v>0.05</v>
      </c>
      <c r="Y328" s="5">
        <v>0.86956</v>
      </c>
      <c r="Z328" s="3">
        <v>286</v>
      </c>
      <c r="AA328" s="11">
        <v>0.75</v>
      </c>
      <c r="AB328" s="3">
        <v>992</v>
      </c>
      <c r="AC328">
        <v>10</v>
      </c>
      <c r="AD328" s="3">
        <v>1</v>
      </c>
      <c r="AE328">
        <v>1</v>
      </c>
      <c r="AF328">
        <v>7</v>
      </c>
      <c r="AG328" s="5">
        <v>0.14285714285714285</v>
      </c>
      <c r="AH328" s="5">
        <v>0.1</v>
      </c>
      <c r="AI328" s="5">
        <v>1.4285699999999999</v>
      </c>
      <c r="AJ328" s="3">
        <v>368</v>
      </c>
      <c r="AK328" s="5">
        <v>0.5</v>
      </c>
      <c r="AL328" s="5">
        <v>0.4</v>
      </c>
      <c r="AM328" s="5">
        <v>1.25</v>
      </c>
      <c r="AN328" s="3">
        <v>326</v>
      </c>
      <c r="AO328">
        <v>0</v>
      </c>
      <c r="AP328">
        <v>0</v>
      </c>
      <c r="AQ328" s="5" t="s">
        <v>653</v>
      </c>
      <c r="AR328" s="5">
        <v>0.8</v>
      </c>
      <c r="AS328" s="5">
        <v>0</v>
      </c>
      <c r="AT328" s="5">
        <v>902</v>
      </c>
    </row>
    <row r="329" spans="1:46" hidden="1">
      <c r="A329" t="str">
        <f>_xlfn.XLOOKUP(Table13[[#This Row],[SAP]],'Location List'!B:B,'Location List'!G:G)</f>
        <v>DFW EAST</v>
      </c>
      <c r="B329" t="str">
        <f>LEFT(Table13[[#This Row],[Sap: Loaction]],4)</f>
        <v>5564</v>
      </c>
      <c r="C329" s="4" t="str">
        <f>_xlfn.XLOOKUP(Table13[[#This Row],[Employee]],'Location List'!M:M,'Location List'!N:N,"",0)</f>
        <v/>
      </c>
      <c r="D329" t="s">
        <v>973</v>
      </c>
      <c r="E329" t="s">
        <v>904</v>
      </c>
      <c r="F329" t="s">
        <v>542</v>
      </c>
      <c r="G329" s="3">
        <v>5</v>
      </c>
      <c r="H329" s="3">
        <v>1185</v>
      </c>
      <c r="I329">
        <v>766.25</v>
      </c>
      <c r="J329" t="s">
        <v>454</v>
      </c>
      <c r="K329" s="6">
        <v>4.95</v>
      </c>
      <c r="L329" s="6">
        <v>35</v>
      </c>
      <c r="M329" s="5">
        <v>0.14142857142857143</v>
      </c>
      <c r="N329" s="3">
        <v>1107</v>
      </c>
      <c r="O329" s="10">
        <v>3</v>
      </c>
      <c r="P329" s="10">
        <v>66</v>
      </c>
      <c r="Q329" s="5">
        <v>4.5454545454545456E-2</v>
      </c>
      <c r="R329" s="5">
        <v>0.19</v>
      </c>
      <c r="S329" s="5">
        <v>0.239231</v>
      </c>
      <c r="T329" s="3">
        <v>1236</v>
      </c>
      <c r="U329" s="10">
        <v>3</v>
      </c>
      <c r="V329" s="10">
        <v>66</v>
      </c>
      <c r="W329" s="5">
        <v>4.5454545454545456E-2</v>
      </c>
      <c r="X329" s="5">
        <v>0.05</v>
      </c>
      <c r="Y329" s="5">
        <v>0.90908</v>
      </c>
      <c r="Z329" s="3">
        <v>265</v>
      </c>
      <c r="AA329" s="11">
        <v>1.4</v>
      </c>
      <c r="AB329" s="3">
        <v>509</v>
      </c>
      <c r="AC329">
        <v>8.8000000000000007</v>
      </c>
      <c r="AD329" s="3">
        <v>23</v>
      </c>
      <c r="AE329">
        <v>0</v>
      </c>
      <c r="AF329">
        <v>15</v>
      </c>
      <c r="AG329" s="5">
        <v>0</v>
      </c>
      <c r="AH329" s="5">
        <v>0.1</v>
      </c>
      <c r="AI329" s="5">
        <v>0</v>
      </c>
      <c r="AJ329" s="3">
        <v>696</v>
      </c>
      <c r="AK329" s="5">
        <v>0.27777766666666664</v>
      </c>
      <c r="AL329" s="5">
        <v>0.4</v>
      </c>
      <c r="AM329" s="5">
        <v>0.694442</v>
      </c>
      <c r="AN329" s="3">
        <v>787</v>
      </c>
      <c r="AO329">
        <v>0</v>
      </c>
      <c r="AP329">
        <v>1</v>
      </c>
      <c r="AQ329">
        <v>0</v>
      </c>
      <c r="AR329" s="5">
        <v>0.8</v>
      </c>
      <c r="AS329" s="5">
        <v>0</v>
      </c>
      <c r="AT329" s="5">
        <v>902</v>
      </c>
    </row>
    <row r="330" spans="1:46" hidden="1">
      <c r="A330" t="str">
        <f>_xlfn.XLOOKUP(Table13[[#This Row],[SAP]],'Location List'!B:B,'Location List'!G:G)</f>
        <v>SA SOUTH</v>
      </c>
      <c r="B330" t="str">
        <f>LEFT(Table13[[#This Row],[Sap: Loaction]],4)</f>
        <v>4723</v>
      </c>
      <c r="C330" s="4" t="str">
        <f>_xlfn.XLOOKUP(Table13[[#This Row],[Employee]],'Location List'!M:M,'Location List'!N:N,"",0)</f>
        <v/>
      </c>
      <c r="D330" t="s">
        <v>973</v>
      </c>
      <c r="E330" t="s">
        <v>821</v>
      </c>
      <c r="F330" t="s">
        <v>534</v>
      </c>
      <c r="G330" s="3">
        <v>5</v>
      </c>
      <c r="H330" s="3">
        <v>1187</v>
      </c>
      <c r="I330">
        <v>766.8</v>
      </c>
      <c r="J330" t="s">
        <v>454</v>
      </c>
      <c r="K330" s="6">
        <v>-31.81</v>
      </c>
      <c r="L330" s="6">
        <v>40</v>
      </c>
      <c r="M330" s="5">
        <v>-0.79525000000000001</v>
      </c>
      <c r="N330" s="3">
        <v>1424</v>
      </c>
      <c r="O330" s="10">
        <v>7</v>
      </c>
      <c r="P330" s="10">
        <v>50</v>
      </c>
      <c r="Q330" s="5">
        <v>0.14000000000000001</v>
      </c>
      <c r="R330" s="5">
        <v>0.19</v>
      </c>
      <c r="S330" s="5">
        <v>0.736842</v>
      </c>
      <c r="T330" s="3">
        <v>744</v>
      </c>
      <c r="U330" s="10">
        <v>0</v>
      </c>
      <c r="V330" s="10">
        <v>50</v>
      </c>
      <c r="W330" s="5">
        <v>0</v>
      </c>
      <c r="X330" s="5">
        <v>0.05</v>
      </c>
      <c r="Y330" s="5">
        <v>0</v>
      </c>
      <c r="Z330" s="3">
        <v>994</v>
      </c>
      <c r="AA330" s="11">
        <v>0.71428499999999995</v>
      </c>
      <c r="AB330" s="3">
        <v>1028</v>
      </c>
      <c r="AC330">
        <v>0</v>
      </c>
      <c r="AD330" s="3">
        <v>75</v>
      </c>
      <c r="AE330">
        <v>0</v>
      </c>
      <c r="AF330">
        <v>6</v>
      </c>
      <c r="AG330" s="5">
        <v>0</v>
      </c>
      <c r="AH330" s="5">
        <v>0.1</v>
      </c>
      <c r="AI330" s="5">
        <v>0</v>
      </c>
      <c r="AJ330" s="3">
        <v>696</v>
      </c>
      <c r="AK330" s="5">
        <v>1</v>
      </c>
      <c r="AL330" s="5">
        <v>0.4</v>
      </c>
      <c r="AM330" s="5">
        <v>2.5</v>
      </c>
      <c r="AN330" s="3">
        <v>1</v>
      </c>
      <c r="AO330">
        <v>0</v>
      </c>
      <c r="AP330">
        <v>0</v>
      </c>
      <c r="AQ330" s="5" t="s">
        <v>653</v>
      </c>
      <c r="AR330" s="5">
        <v>0.8</v>
      </c>
      <c r="AS330" s="5">
        <v>0</v>
      </c>
      <c r="AT330" s="5">
        <v>902</v>
      </c>
    </row>
    <row r="331" spans="1:46" hidden="1">
      <c r="A331" t="str">
        <f>_xlfn.XLOOKUP(Table13[[#This Row],[SAP]],'Location List'!B:B,'Location List'!G:G)</f>
        <v>CENTRAL TEXAS</v>
      </c>
      <c r="B331" t="str">
        <f>LEFT(Table13[[#This Row],[Sap: Loaction]],4)</f>
        <v>1FSU</v>
      </c>
      <c r="C331" s="4" t="str">
        <f>_xlfn.XLOOKUP(Table13[[#This Row],[Employee]],'Location List'!M:M,'Location List'!N:N,"",0)</f>
        <v/>
      </c>
      <c r="D331" t="s">
        <v>973</v>
      </c>
      <c r="E331" t="s">
        <v>685</v>
      </c>
      <c r="F331" t="s">
        <v>523</v>
      </c>
      <c r="G331" s="3">
        <v>5</v>
      </c>
      <c r="H331" s="3">
        <v>1188</v>
      </c>
      <c r="I331">
        <v>767.75</v>
      </c>
      <c r="J331" t="s">
        <v>454</v>
      </c>
      <c r="K331" s="6">
        <v>-0.69</v>
      </c>
      <c r="L331" s="6">
        <v>29.999999999999996</v>
      </c>
      <c r="M331" s="5">
        <v>-2.3E-2</v>
      </c>
      <c r="N331" s="3">
        <v>1246</v>
      </c>
      <c r="O331" s="10">
        <v>3</v>
      </c>
      <c r="P331" s="10">
        <v>47</v>
      </c>
      <c r="Q331" s="5">
        <v>6.3829787234042548E-2</v>
      </c>
      <c r="R331" s="5">
        <v>0.19</v>
      </c>
      <c r="S331" s="5">
        <v>0.33594200000000002</v>
      </c>
      <c r="T331" s="3">
        <v>1171</v>
      </c>
      <c r="U331" s="10">
        <v>4</v>
      </c>
      <c r="V331" s="10">
        <v>47</v>
      </c>
      <c r="W331" s="5">
        <v>8.5106382978723402E-2</v>
      </c>
      <c r="X331" s="5">
        <v>0.05</v>
      </c>
      <c r="Y331" s="5">
        <v>1.7021200000000001</v>
      </c>
      <c r="Z331" s="3">
        <v>46</v>
      </c>
      <c r="AA331" s="11">
        <v>0</v>
      </c>
      <c r="AB331" s="3">
        <v>1357</v>
      </c>
      <c r="AC331">
        <v>10</v>
      </c>
      <c r="AD331" s="3">
        <v>1</v>
      </c>
      <c r="AE331">
        <v>3</v>
      </c>
      <c r="AF331">
        <v>7</v>
      </c>
      <c r="AG331" s="5">
        <v>0.42857142857142855</v>
      </c>
      <c r="AH331" s="5">
        <v>0.1</v>
      </c>
      <c r="AI331" s="5">
        <v>4.2857099999999999</v>
      </c>
      <c r="AJ331" s="3">
        <v>73</v>
      </c>
      <c r="AK331" s="5">
        <v>0.125</v>
      </c>
      <c r="AL331" s="5">
        <v>0.4</v>
      </c>
      <c r="AM331" s="5">
        <v>0.3125</v>
      </c>
      <c r="AN331" s="3">
        <v>1051</v>
      </c>
      <c r="AO331">
        <v>0</v>
      </c>
      <c r="AP331">
        <v>0</v>
      </c>
      <c r="AQ331" s="5" t="s">
        <v>653</v>
      </c>
      <c r="AR331" s="5">
        <v>0.8</v>
      </c>
      <c r="AS331" s="5">
        <v>0</v>
      </c>
      <c r="AT331" s="5">
        <v>902</v>
      </c>
    </row>
    <row r="332" spans="1:46" hidden="1">
      <c r="A332" t="str">
        <f>_xlfn.XLOOKUP(Table13[[#This Row],[SAP]],'Location List'!B:B,'Location List'!G:G)</f>
        <v>SA/HILL COUNTRY</v>
      </c>
      <c r="B332" t="str">
        <f>LEFT(Table13[[#This Row],[Sap: Loaction]],4)</f>
        <v>767D</v>
      </c>
      <c r="C332" s="4" t="str">
        <f>_xlfn.XLOOKUP(Table13[[#This Row],[Employee]],'Location List'!M:M,'Location List'!N:N,"",0)</f>
        <v/>
      </c>
      <c r="D332" t="s">
        <v>973</v>
      </c>
      <c r="E332" t="s">
        <v>996</v>
      </c>
      <c r="F332" t="s">
        <v>562</v>
      </c>
      <c r="G332" s="3">
        <v>5</v>
      </c>
      <c r="H332" s="3">
        <v>1190</v>
      </c>
      <c r="I332">
        <v>767.9</v>
      </c>
      <c r="J332" t="s">
        <v>454</v>
      </c>
      <c r="K332" s="6">
        <v>27.6</v>
      </c>
      <c r="L332" s="6">
        <v>35</v>
      </c>
      <c r="M332" s="5">
        <v>0.78857142857142859</v>
      </c>
      <c r="N332" s="3">
        <v>652</v>
      </c>
      <c r="O332" s="10">
        <v>6</v>
      </c>
      <c r="P332" s="10">
        <v>64</v>
      </c>
      <c r="Q332" s="5">
        <v>9.375E-2</v>
      </c>
      <c r="R332" s="5">
        <v>0.19</v>
      </c>
      <c r="S332" s="5">
        <v>0.493421</v>
      </c>
      <c r="T332" s="3">
        <v>1019</v>
      </c>
      <c r="U332" s="10">
        <v>3</v>
      </c>
      <c r="V332" s="10">
        <v>64</v>
      </c>
      <c r="W332" s="5">
        <v>4.6875E-2</v>
      </c>
      <c r="X332" s="5">
        <v>0.05</v>
      </c>
      <c r="Y332" s="5">
        <v>0.9375</v>
      </c>
      <c r="Z332" s="3">
        <v>250</v>
      </c>
      <c r="AA332" s="11">
        <v>0.28571400000000002</v>
      </c>
      <c r="AB332" s="3">
        <v>1316</v>
      </c>
      <c r="AC332">
        <v>10</v>
      </c>
      <c r="AD332" s="3">
        <v>1</v>
      </c>
      <c r="AE332">
        <v>0</v>
      </c>
      <c r="AF332">
        <v>16</v>
      </c>
      <c r="AG332" s="5">
        <v>0</v>
      </c>
      <c r="AH332" s="5">
        <v>0.1</v>
      </c>
      <c r="AI332" s="5">
        <v>0</v>
      </c>
      <c r="AJ332" s="3">
        <v>696</v>
      </c>
      <c r="AK332" s="5">
        <v>0</v>
      </c>
      <c r="AL332" s="5">
        <v>0.4</v>
      </c>
      <c r="AM332" s="5">
        <v>0</v>
      </c>
      <c r="AN332" s="3">
        <v>1150</v>
      </c>
      <c r="AO332">
        <v>0</v>
      </c>
      <c r="AP332">
        <v>1</v>
      </c>
      <c r="AQ332" s="5">
        <v>0</v>
      </c>
      <c r="AR332" s="5">
        <v>0.8</v>
      </c>
      <c r="AS332" s="5">
        <v>0</v>
      </c>
      <c r="AT332" s="5">
        <v>902</v>
      </c>
    </row>
    <row r="333" spans="1:46" hidden="1">
      <c r="A333" t="str">
        <f>_xlfn.XLOOKUP(Table13[[#This Row],[SAP]],'Location List'!B:B,'Location List'!G:G)</f>
        <v>WEST TEXAS</v>
      </c>
      <c r="B333" t="str">
        <f>LEFT(Table13[[#This Row],[Sap: Loaction]],4)</f>
        <v>930E</v>
      </c>
      <c r="C333" s="4" t="str">
        <f>_xlfn.XLOOKUP(Table13[[#This Row],[Employee]],'Location List'!M:M,'Location List'!N:N,"",0)</f>
        <v/>
      </c>
      <c r="D333" t="s">
        <v>973</v>
      </c>
      <c r="E333" t="s">
        <v>671</v>
      </c>
      <c r="F333" t="s">
        <v>552</v>
      </c>
      <c r="G333" s="3">
        <v>5</v>
      </c>
      <c r="H333" s="3">
        <v>1196</v>
      </c>
      <c r="I333">
        <v>772.7</v>
      </c>
      <c r="J333" t="s">
        <v>454</v>
      </c>
      <c r="K333" s="6">
        <v>10.83</v>
      </c>
      <c r="L333" s="6">
        <v>40</v>
      </c>
      <c r="M333" s="5">
        <v>0.27074999999999999</v>
      </c>
      <c r="N333" s="3">
        <v>1022</v>
      </c>
      <c r="O333" s="10">
        <v>10</v>
      </c>
      <c r="P333" s="10">
        <v>62</v>
      </c>
      <c r="Q333" s="5">
        <v>0.16129032258064516</v>
      </c>
      <c r="R333" s="5">
        <v>0.19</v>
      </c>
      <c r="S333" s="5">
        <v>0.84889400000000004</v>
      </c>
      <c r="T333" s="3">
        <v>636</v>
      </c>
      <c r="U333" s="10">
        <v>1</v>
      </c>
      <c r="V333" s="10">
        <v>62</v>
      </c>
      <c r="W333" s="5">
        <v>1.6129032258064516E-2</v>
      </c>
      <c r="X333" s="5">
        <v>0.05</v>
      </c>
      <c r="Y333" s="5">
        <v>0.32257999999999998</v>
      </c>
      <c r="Z333" s="3">
        <v>772</v>
      </c>
      <c r="AA333" s="11">
        <v>0.52941099999999996</v>
      </c>
      <c r="AB333" s="3">
        <v>1169</v>
      </c>
      <c r="AC333">
        <v>0</v>
      </c>
      <c r="AD333" s="3">
        <v>75</v>
      </c>
      <c r="AE333">
        <v>0</v>
      </c>
      <c r="AF333">
        <v>7</v>
      </c>
      <c r="AG333" s="5">
        <v>0</v>
      </c>
      <c r="AH333" s="5">
        <v>0.1</v>
      </c>
      <c r="AI333" s="5">
        <v>0</v>
      </c>
      <c r="AJ333" s="3">
        <v>696</v>
      </c>
      <c r="AK333" s="5">
        <v>0.16666666666666666</v>
      </c>
      <c r="AL333" s="5">
        <v>0.4</v>
      </c>
      <c r="AM333" s="5">
        <v>0.41666500000000001</v>
      </c>
      <c r="AN333" s="3">
        <v>960</v>
      </c>
      <c r="AO333">
        <v>0</v>
      </c>
      <c r="AP333">
        <v>1</v>
      </c>
      <c r="AQ333" s="5">
        <v>0</v>
      </c>
      <c r="AR333" s="5">
        <v>0.8</v>
      </c>
      <c r="AS333" s="5">
        <v>0</v>
      </c>
      <c r="AT333" s="5">
        <v>902</v>
      </c>
    </row>
    <row r="334" spans="1:46">
      <c r="A334" t="str">
        <f>_xlfn.XLOOKUP(Table13[[#This Row],[SAP]],'Location List'!B:B,'Location List'!G:G)</f>
        <v>CENTRAL TEXAS</v>
      </c>
      <c r="B334" t="str">
        <f>LEFT(Table13[[#This Row],[Sap: Loaction]],4)</f>
        <v>1FSS</v>
      </c>
      <c r="C334" s="4" t="str">
        <f>_xlfn.XLOOKUP(Table13[[#This Row],[Employee]],'Location List'!M:M,'Location List'!N:N,"",0)</f>
        <v/>
      </c>
      <c r="D334" t="s">
        <v>973</v>
      </c>
      <c r="E334" t="s">
        <v>825</v>
      </c>
      <c r="F334" t="s">
        <v>540</v>
      </c>
      <c r="G334" s="3">
        <v>5</v>
      </c>
      <c r="H334" s="3">
        <v>1198</v>
      </c>
      <c r="I334">
        <v>773.15</v>
      </c>
      <c r="J334" t="s">
        <v>454</v>
      </c>
      <c r="K334" s="6">
        <v>2.5299999999999998</v>
      </c>
      <c r="L334" s="6">
        <v>30</v>
      </c>
      <c r="M334" s="5">
        <v>8.433333333333333E-2</v>
      </c>
      <c r="N334" s="3">
        <v>1141</v>
      </c>
      <c r="O334" s="10">
        <v>1</v>
      </c>
      <c r="P334" s="10">
        <v>30</v>
      </c>
      <c r="Q334" s="5">
        <v>3.3333333333333333E-2</v>
      </c>
      <c r="R334" s="5">
        <v>0.19</v>
      </c>
      <c r="S334" s="5">
        <v>0.17543600000000001</v>
      </c>
      <c r="T334" s="3">
        <v>1280</v>
      </c>
      <c r="U334" s="10">
        <v>0</v>
      </c>
      <c r="V334" s="10">
        <v>30</v>
      </c>
      <c r="W334" s="5">
        <v>0</v>
      </c>
      <c r="X334" s="5">
        <v>0.05</v>
      </c>
      <c r="Y334" s="5">
        <v>0</v>
      </c>
      <c r="Z334" s="3">
        <v>994</v>
      </c>
      <c r="AA334" s="11">
        <v>4</v>
      </c>
      <c r="AB334" s="3">
        <v>29</v>
      </c>
      <c r="AC334">
        <v>10</v>
      </c>
      <c r="AD334" s="3">
        <v>1</v>
      </c>
      <c r="AE334">
        <v>1</v>
      </c>
      <c r="AF334">
        <v>5</v>
      </c>
      <c r="AG334" s="5">
        <v>0.2</v>
      </c>
      <c r="AH334" s="5">
        <v>0.1</v>
      </c>
      <c r="AI334" s="5">
        <v>2</v>
      </c>
      <c r="AJ334" s="3">
        <v>256</v>
      </c>
      <c r="AK334" s="5" t="s">
        <v>653</v>
      </c>
      <c r="AL334" s="5">
        <v>0.4</v>
      </c>
      <c r="AM334" s="5">
        <v>0</v>
      </c>
      <c r="AN334" s="3">
        <v>1150</v>
      </c>
      <c r="AO334">
        <v>0</v>
      </c>
      <c r="AP334">
        <v>0</v>
      </c>
      <c r="AQ334" s="5" t="s">
        <v>653</v>
      </c>
      <c r="AR334" s="5">
        <v>0.8</v>
      </c>
      <c r="AS334" s="5">
        <v>0</v>
      </c>
      <c r="AT334" s="5">
        <v>902</v>
      </c>
    </row>
    <row r="335" spans="1:46" hidden="1">
      <c r="A335" t="str">
        <f>_xlfn.XLOOKUP(Table13[[#This Row],[SAP]],'Location List'!B:B,'Location List'!G:G)</f>
        <v>WEST TEXAS</v>
      </c>
      <c r="B335" t="str">
        <f>LEFT(Table13[[#This Row],[Sap: Loaction]],4)</f>
        <v>930E</v>
      </c>
      <c r="C335" s="4" t="str">
        <f>_xlfn.XLOOKUP(Table13[[#This Row],[Employee]],'Location List'!M:M,'Location List'!N:N,"",0)</f>
        <v/>
      </c>
      <c r="D335" t="s">
        <v>973</v>
      </c>
      <c r="E335" t="s">
        <v>765</v>
      </c>
      <c r="F335" t="s">
        <v>552</v>
      </c>
      <c r="G335" s="3">
        <v>5</v>
      </c>
      <c r="H335" s="3">
        <v>1199</v>
      </c>
      <c r="I335">
        <v>774.35</v>
      </c>
      <c r="J335" t="s">
        <v>454</v>
      </c>
      <c r="K335" s="6">
        <v>-17.07</v>
      </c>
      <c r="L335" s="6">
        <v>40</v>
      </c>
      <c r="M335" s="5">
        <v>-0.42675000000000002</v>
      </c>
      <c r="N335" s="3">
        <v>1379</v>
      </c>
      <c r="O335" s="10">
        <v>6</v>
      </c>
      <c r="P335" s="10">
        <v>59</v>
      </c>
      <c r="Q335" s="5">
        <v>0.10169491525423729</v>
      </c>
      <c r="R335" s="5">
        <v>0.19</v>
      </c>
      <c r="S335" s="5">
        <v>0.53523100000000001</v>
      </c>
      <c r="T335" s="3">
        <v>975</v>
      </c>
      <c r="U335" s="10">
        <v>1</v>
      </c>
      <c r="V335" s="10">
        <v>59</v>
      </c>
      <c r="W335" s="5">
        <v>1.6949152542372881E-2</v>
      </c>
      <c r="X335" s="5">
        <v>0.05</v>
      </c>
      <c r="Y335" s="5">
        <v>0.33898</v>
      </c>
      <c r="Z335" s="3">
        <v>746</v>
      </c>
      <c r="AA335" s="11">
        <v>0.2</v>
      </c>
      <c r="AB335" s="3">
        <v>1339</v>
      </c>
      <c r="AC335">
        <v>10</v>
      </c>
      <c r="AD335" s="3">
        <v>1</v>
      </c>
      <c r="AE335">
        <v>0</v>
      </c>
      <c r="AF335">
        <v>10</v>
      </c>
      <c r="AG335" s="5">
        <v>0</v>
      </c>
      <c r="AH335" s="5">
        <v>0.1</v>
      </c>
      <c r="AI335" s="5">
        <v>0</v>
      </c>
      <c r="AJ335" s="3">
        <v>696</v>
      </c>
      <c r="AK335" s="5">
        <v>0.375</v>
      </c>
      <c r="AL335" s="5">
        <v>0.4</v>
      </c>
      <c r="AM335" s="5">
        <v>0.9375</v>
      </c>
      <c r="AN335" s="3">
        <v>594</v>
      </c>
      <c r="AO335">
        <v>4</v>
      </c>
      <c r="AP335">
        <v>4</v>
      </c>
      <c r="AQ335" s="5">
        <v>1</v>
      </c>
      <c r="AR335" s="5">
        <v>0.8</v>
      </c>
      <c r="AS335" s="5">
        <v>1.25</v>
      </c>
      <c r="AT335" s="5">
        <v>1</v>
      </c>
    </row>
    <row r="336" spans="1:46" hidden="1">
      <c r="A336" t="str">
        <f>_xlfn.XLOOKUP(Table13[[#This Row],[SAP]],'Location List'!B:B,'Location List'!G:G)</f>
        <v>CENTRAL TEXAS</v>
      </c>
      <c r="B336" t="str">
        <f>LEFT(Table13[[#This Row],[Sap: Loaction]],4)</f>
        <v>961F</v>
      </c>
      <c r="C336" s="4" t="str">
        <f>_xlfn.XLOOKUP(Table13[[#This Row],[Employee]],'Location List'!M:M,'Location List'!N:N,"",0)</f>
        <v/>
      </c>
      <c r="D336" t="s">
        <v>973</v>
      </c>
      <c r="E336" t="s">
        <v>994</v>
      </c>
      <c r="F336" t="s">
        <v>547</v>
      </c>
      <c r="G336" s="3">
        <v>5</v>
      </c>
      <c r="H336" s="3">
        <v>1205</v>
      </c>
      <c r="I336">
        <v>777.45</v>
      </c>
      <c r="J336" t="s">
        <v>454</v>
      </c>
      <c r="K336" s="6">
        <v>22.04</v>
      </c>
      <c r="L336" s="6">
        <v>35</v>
      </c>
      <c r="M336" s="5">
        <v>0.62971428571428567</v>
      </c>
      <c r="N336" s="3">
        <v>771</v>
      </c>
      <c r="O336" s="10">
        <v>7</v>
      </c>
      <c r="P336" s="10">
        <v>41</v>
      </c>
      <c r="Q336" s="5">
        <v>0.17073170731707318</v>
      </c>
      <c r="R336" s="5">
        <v>0.19</v>
      </c>
      <c r="S336" s="5">
        <v>0.89858400000000005</v>
      </c>
      <c r="T336" s="3">
        <v>585</v>
      </c>
      <c r="U336" s="10">
        <v>0</v>
      </c>
      <c r="V336" s="10">
        <v>41</v>
      </c>
      <c r="W336" s="5">
        <v>0</v>
      </c>
      <c r="X336" s="5">
        <v>0.05</v>
      </c>
      <c r="Y336" s="5">
        <v>0</v>
      </c>
      <c r="Z336" s="3">
        <v>994</v>
      </c>
      <c r="AA336" s="11">
        <v>0.33333299999999999</v>
      </c>
      <c r="AB336" s="3">
        <v>1283</v>
      </c>
      <c r="AC336">
        <v>0</v>
      </c>
      <c r="AD336" s="3">
        <v>75</v>
      </c>
      <c r="AE336">
        <v>0</v>
      </c>
      <c r="AF336">
        <v>3</v>
      </c>
      <c r="AG336" s="5">
        <v>0</v>
      </c>
      <c r="AH336" s="5">
        <v>0.1</v>
      </c>
      <c r="AI336" s="5">
        <v>0</v>
      </c>
      <c r="AJ336" s="3">
        <v>696</v>
      </c>
      <c r="AK336" s="5">
        <v>0</v>
      </c>
      <c r="AL336" s="5">
        <v>0.4</v>
      </c>
      <c r="AM336" s="5">
        <v>0</v>
      </c>
      <c r="AN336" s="3">
        <v>1150</v>
      </c>
      <c r="AO336">
        <v>0</v>
      </c>
      <c r="AP336">
        <v>0</v>
      </c>
      <c r="AQ336" s="5" t="s">
        <v>653</v>
      </c>
      <c r="AR336" s="5">
        <v>0.8</v>
      </c>
      <c r="AS336" s="5">
        <v>0</v>
      </c>
      <c r="AT336" s="5">
        <v>902</v>
      </c>
    </row>
    <row r="337" spans="1:46" hidden="1">
      <c r="A337" t="str">
        <f>_xlfn.XLOOKUP(Table13[[#This Row],[SAP]],'Location List'!B:B,'Location List'!G:G)</f>
        <v>SA/HILL COUNTRY</v>
      </c>
      <c r="B337" t="str">
        <f>LEFT(Table13[[#This Row],[Sap: Loaction]],4)</f>
        <v>569D</v>
      </c>
      <c r="C337" s="4" t="str">
        <f>_xlfn.XLOOKUP(Table13[[#This Row],[Employee]],'Location List'!M:M,'Location List'!N:N,"",0)</f>
        <v/>
      </c>
      <c r="D337" t="s">
        <v>973</v>
      </c>
      <c r="E337" t="s">
        <v>846</v>
      </c>
      <c r="F337" t="s">
        <v>513</v>
      </c>
      <c r="G337" s="3">
        <v>5</v>
      </c>
      <c r="H337" s="3">
        <v>1206</v>
      </c>
      <c r="I337">
        <v>778.15</v>
      </c>
      <c r="J337" t="s">
        <v>454</v>
      </c>
      <c r="K337" s="6">
        <v>15.83</v>
      </c>
      <c r="L337" s="6">
        <v>35</v>
      </c>
      <c r="M337" s="5">
        <v>0.45228571428571429</v>
      </c>
      <c r="N337" s="3">
        <v>893</v>
      </c>
      <c r="O337" s="10">
        <v>6</v>
      </c>
      <c r="P337" s="10">
        <v>69</v>
      </c>
      <c r="Q337" s="5">
        <v>8.6956521739130432E-2</v>
      </c>
      <c r="R337" s="5">
        <v>0.19</v>
      </c>
      <c r="S337" s="5">
        <v>0.45766299999999999</v>
      </c>
      <c r="T337" s="3">
        <v>1062</v>
      </c>
      <c r="U337" s="10">
        <v>2</v>
      </c>
      <c r="V337" s="10">
        <v>69</v>
      </c>
      <c r="W337" s="5">
        <v>2.8985507246376812E-2</v>
      </c>
      <c r="X337" s="5">
        <v>0.05</v>
      </c>
      <c r="Y337" s="5">
        <v>0.57969999999999999</v>
      </c>
      <c r="Z337" s="3">
        <v>480</v>
      </c>
      <c r="AA337" s="11">
        <v>1</v>
      </c>
      <c r="AB337" s="3">
        <v>741</v>
      </c>
      <c r="AC337">
        <v>10</v>
      </c>
      <c r="AD337" s="3">
        <v>1</v>
      </c>
      <c r="AE337">
        <v>0</v>
      </c>
      <c r="AF337">
        <v>24</v>
      </c>
      <c r="AG337" s="5">
        <v>0</v>
      </c>
      <c r="AH337" s="5">
        <v>0.1</v>
      </c>
      <c r="AI337" s="5">
        <v>0</v>
      </c>
      <c r="AJ337" s="3">
        <v>696</v>
      </c>
      <c r="AK337" s="5">
        <v>0</v>
      </c>
      <c r="AL337" s="5">
        <v>0.4</v>
      </c>
      <c r="AM337" s="5">
        <v>0</v>
      </c>
      <c r="AN337" s="3">
        <v>1150</v>
      </c>
      <c r="AO337">
        <v>0</v>
      </c>
      <c r="AP337">
        <v>2</v>
      </c>
      <c r="AQ337" s="5">
        <v>0</v>
      </c>
      <c r="AR337" s="5">
        <v>0.8</v>
      </c>
      <c r="AS337" s="5">
        <v>0</v>
      </c>
      <c r="AT337" s="5">
        <v>902</v>
      </c>
    </row>
    <row r="338" spans="1:46" hidden="1">
      <c r="A338" t="str">
        <f>_xlfn.XLOOKUP(Table13[[#This Row],[SAP]],'Location List'!B:B,'Location List'!G:G)</f>
        <v>KS/OK</v>
      </c>
      <c r="B338" t="str">
        <f>LEFT(Table13[[#This Row],[Sap: Loaction]],4)</f>
        <v>4789</v>
      </c>
      <c r="C338" s="4" t="str">
        <f>_xlfn.XLOOKUP(Table13[[#This Row],[Employee]],'Location List'!M:M,'Location List'!N:N,"",0)</f>
        <v/>
      </c>
      <c r="D338" t="s">
        <v>973</v>
      </c>
      <c r="E338" t="s">
        <v>857</v>
      </c>
      <c r="F338" t="s">
        <v>501</v>
      </c>
      <c r="G338" s="3">
        <v>5</v>
      </c>
      <c r="H338" s="3">
        <v>1207</v>
      </c>
      <c r="I338">
        <v>778.5</v>
      </c>
      <c r="J338" t="s">
        <v>454</v>
      </c>
      <c r="K338" s="6">
        <v>10.87</v>
      </c>
      <c r="L338" s="6">
        <v>40</v>
      </c>
      <c r="M338" s="5">
        <v>0.27174999999999999</v>
      </c>
      <c r="N338" s="3">
        <v>1020</v>
      </c>
      <c r="O338" s="10">
        <v>6</v>
      </c>
      <c r="P338" s="10">
        <v>62</v>
      </c>
      <c r="Q338" s="5">
        <v>9.6774193548387094E-2</v>
      </c>
      <c r="R338" s="5">
        <v>0.19</v>
      </c>
      <c r="S338" s="5">
        <v>0.50933600000000001</v>
      </c>
      <c r="T338" s="3">
        <v>1007</v>
      </c>
      <c r="U338" s="10">
        <v>1</v>
      </c>
      <c r="V338" s="10">
        <v>62</v>
      </c>
      <c r="W338" s="5">
        <v>1.6129032258064516E-2</v>
      </c>
      <c r="X338" s="5">
        <v>0.05</v>
      </c>
      <c r="Y338" s="5">
        <v>0.32257999999999998</v>
      </c>
      <c r="Z338" s="3">
        <v>772</v>
      </c>
      <c r="AA338" s="11">
        <v>1.8333330000000001</v>
      </c>
      <c r="AB338" s="3">
        <v>298</v>
      </c>
      <c r="AC338">
        <v>0</v>
      </c>
      <c r="AD338" s="3">
        <v>75</v>
      </c>
      <c r="AE338">
        <v>0</v>
      </c>
      <c r="AF338">
        <v>4</v>
      </c>
      <c r="AG338" s="5">
        <v>0</v>
      </c>
      <c r="AH338" s="5">
        <v>0.1</v>
      </c>
      <c r="AI338" s="5">
        <v>0</v>
      </c>
      <c r="AJ338" s="3">
        <v>696</v>
      </c>
      <c r="AK338" s="5">
        <v>0</v>
      </c>
      <c r="AL338" s="5">
        <v>0.4</v>
      </c>
      <c r="AM338" s="5">
        <v>0</v>
      </c>
      <c r="AN338" s="3">
        <v>1150</v>
      </c>
      <c r="AO338">
        <v>0</v>
      </c>
      <c r="AP338">
        <v>0</v>
      </c>
      <c r="AQ338" s="5" t="s">
        <v>653</v>
      </c>
      <c r="AR338" s="5">
        <v>0.8</v>
      </c>
      <c r="AS338" s="5">
        <v>0</v>
      </c>
      <c r="AT338" s="5">
        <v>902</v>
      </c>
    </row>
    <row r="339" spans="1:46" hidden="1">
      <c r="A339" t="str">
        <f>_xlfn.XLOOKUP(Table13[[#This Row],[SAP]],'Location List'!B:B,'Location List'!G:G)</f>
        <v>KS/OK</v>
      </c>
      <c r="B339" t="str">
        <f>LEFT(Table13[[#This Row],[Sap: Loaction]],4)</f>
        <v>4781</v>
      </c>
      <c r="C339" s="4" t="str">
        <f>_xlfn.XLOOKUP(Table13[[#This Row],[Employee]],'Location List'!M:M,'Location List'!N:N,"",0)</f>
        <v>RSM</v>
      </c>
      <c r="D339" t="s">
        <v>973</v>
      </c>
      <c r="E339" t="s">
        <v>960</v>
      </c>
      <c r="F339" t="s">
        <v>495</v>
      </c>
      <c r="G339" s="3">
        <v>5</v>
      </c>
      <c r="H339" s="3">
        <v>1208</v>
      </c>
      <c r="I339">
        <v>778.65</v>
      </c>
      <c r="J339" t="s">
        <v>454</v>
      </c>
      <c r="K339" s="6">
        <v>0.71</v>
      </c>
      <c r="L339" s="6">
        <v>40</v>
      </c>
      <c r="M339" s="5">
        <v>1.7749999999999998E-2</v>
      </c>
      <c r="N339" s="3">
        <v>1191</v>
      </c>
      <c r="O339" s="10">
        <v>0</v>
      </c>
      <c r="P339" s="10">
        <v>65</v>
      </c>
      <c r="Q339" s="5">
        <v>0</v>
      </c>
      <c r="R339" s="5">
        <v>0.19</v>
      </c>
      <c r="S339" s="5">
        <v>0</v>
      </c>
      <c r="T339" s="3">
        <v>1332</v>
      </c>
      <c r="U339" s="10">
        <v>0</v>
      </c>
      <c r="V339" s="10">
        <v>65</v>
      </c>
      <c r="W339" s="5">
        <v>0</v>
      </c>
      <c r="X339" s="5">
        <v>0.05</v>
      </c>
      <c r="Y339" s="5">
        <v>0</v>
      </c>
      <c r="Z339" s="3">
        <v>994</v>
      </c>
      <c r="AA339" s="11">
        <v>3</v>
      </c>
      <c r="AB339" s="3">
        <v>69</v>
      </c>
      <c r="AC339">
        <v>10</v>
      </c>
      <c r="AD339" s="3">
        <v>1</v>
      </c>
      <c r="AE339">
        <v>0</v>
      </c>
      <c r="AF339">
        <v>8</v>
      </c>
      <c r="AG339" s="5">
        <v>0</v>
      </c>
      <c r="AH339" s="5">
        <v>0.1</v>
      </c>
      <c r="AI339" s="5">
        <v>0</v>
      </c>
      <c r="AJ339" s="3">
        <v>696</v>
      </c>
      <c r="AK339" s="5">
        <v>0.5</v>
      </c>
      <c r="AL339" s="5">
        <v>0.4</v>
      </c>
      <c r="AM339" s="5">
        <v>1.25</v>
      </c>
      <c r="AN339" s="3">
        <v>326</v>
      </c>
      <c r="AO339">
        <v>0</v>
      </c>
      <c r="AP339">
        <v>2</v>
      </c>
      <c r="AQ339" s="5">
        <v>0</v>
      </c>
      <c r="AR339" s="5">
        <v>0.8</v>
      </c>
      <c r="AS339" s="5">
        <v>0</v>
      </c>
      <c r="AT339" s="5">
        <v>902</v>
      </c>
    </row>
    <row r="340" spans="1:46" hidden="1">
      <c r="A340" t="str">
        <f>_xlfn.XLOOKUP(Table13[[#This Row],[SAP]],'Location List'!B:B,'Location List'!G:G)</f>
        <v>DFW EAST</v>
      </c>
      <c r="B340" t="str">
        <f>LEFT(Table13[[#This Row],[Sap: Loaction]],4)</f>
        <v>2819</v>
      </c>
      <c r="C340" s="4" t="str">
        <f>_xlfn.XLOOKUP(Table13[[#This Row],[Employee]],'Location List'!M:M,'Location List'!N:N,"",0)</f>
        <v/>
      </c>
      <c r="D340" t="s">
        <v>973</v>
      </c>
      <c r="E340" t="s">
        <v>800</v>
      </c>
      <c r="F340" t="s">
        <v>554</v>
      </c>
      <c r="G340" s="3">
        <v>5</v>
      </c>
      <c r="H340" s="3">
        <v>1210</v>
      </c>
      <c r="I340">
        <v>779.85</v>
      </c>
      <c r="J340" t="s">
        <v>454</v>
      </c>
      <c r="K340" s="6">
        <v>-4.8499999999999996</v>
      </c>
      <c r="L340" s="6">
        <v>40</v>
      </c>
      <c r="M340" s="5">
        <v>-0.12125</v>
      </c>
      <c r="N340" s="3">
        <v>1299</v>
      </c>
      <c r="O340" s="10">
        <v>8</v>
      </c>
      <c r="P340" s="10">
        <v>87</v>
      </c>
      <c r="Q340" s="5">
        <v>9.1954022988505746E-2</v>
      </c>
      <c r="R340" s="5">
        <v>0.19</v>
      </c>
      <c r="S340" s="5">
        <v>0.48396800000000001</v>
      </c>
      <c r="T340" s="3">
        <v>1032</v>
      </c>
      <c r="U340" s="10">
        <v>0</v>
      </c>
      <c r="V340" s="10">
        <v>87</v>
      </c>
      <c r="W340" s="5">
        <v>0</v>
      </c>
      <c r="X340" s="5">
        <v>0.05</v>
      </c>
      <c r="Y340" s="5">
        <v>0</v>
      </c>
      <c r="Z340" s="3">
        <v>994</v>
      </c>
      <c r="AA340" s="11">
        <v>1.25</v>
      </c>
      <c r="AB340" s="3">
        <v>606</v>
      </c>
      <c r="AC340">
        <v>0</v>
      </c>
      <c r="AD340" s="3">
        <v>75</v>
      </c>
      <c r="AE340">
        <v>0</v>
      </c>
      <c r="AF340">
        <v>10</v>
      </c>
      <c r="AG340" s="5">
        <v>0</v>
      </c>
      <c r="AH340" s="5">
        <v>0.1</v>
      </c>
      <c r="AI340" s="5">
        <v>0</v>
      </c>
      <c r="AJ340" s="3">
        <v>696</v>
      </c>
      <c r="AK340" s="5">
        <v>0.5</v>
      </c>
      <c r="AL340" s="5">
        <v>0.4</v>
      </c>
      <c r="AM340" s="5">
        <v>1.25</v>
      </c>
      <c r="AN340" s="3">
        <v>326</v>
      </c>
      <c r="AO340">
        <v>1</v>
      </c>
      <c r="AP340">
        <v>2</v>
      </c>
      <c r="AQ340" s="5">
        <v>0.5</v>
      </c>
      <c r="AR340" s="5">
        <v>0.8</v>
      </c>
      <c r="AS340" s="5">
        <v>0.625</v>
      </c>
      <c r="AT340" s="5">
        <v>741</v>
      </c>
    </row>
    <row r="341" spans="1:46" hidden="1">
      <c r="A341" t="str">
        <f>_xlfn.XLOOKUP(Table13[[#This Row],[SAP]],'Location List'!B:B,'Location List'!G:G)</f>
        <v>DFW NORTH</v>
      </c>
      <c r="B341" t="str">
        <f>LEFT(Table13[[#This Row],[Sap: Loaction]],4)</f>
        <v>904E</v>
      </c>
      <c r="C341" s="4" t="str">
        <f>_xlfn.XLOOKUP(Table13[[#This Row],[Employee]],'Location List'!M:M,'Location List'!N:N,"",0)</f>
        <v/>
      </c>
      <c r="D341" t="s">
        <v>973</v>
      </c>
      <c r="E341" t="s">
        <v>656</v>
      </c>
      <c r="F341" t="s">
        <v>525</v>
      </c>
      <c r="G341" s="3">
        <v>5</v>
      </c>
      <c r="H341" s="3">
        <v>1212</v>
      </c>
      <c r="I341">
        <v>780.3</v>
      </c>
      <c r="J341" t="s">
        <v>454</v>
      </c>
      <c r="K341" s="6">
        <v>13.36</v>
      </c>
      <c r="L341" s="6">
        <v>35</v>
      </c>
      <c r="M341" s="5">
        <v>0.38171428571428573</v>
      </c>
      <c r="N341" s="3">
        <v>937</v>
      </c>
      <c r="O341" s="10">
        <v>3</v>
      </c>
      <c r="P341" s="10">
        <v>63</v>
      </c>
      <c r="Q341" s="5">
        <v>4.7619047619047616E-2</v>
      </c>
      <c r="R341" s="5">
        <v>0.19</v>
      </c>
      <c r="S341" s="5">
        <v>0.25062600000000002</v>
      </c>
      <c r="T341" s="3">
        <v>1227</v>
      </c>
      <c r="U341" s="10">
        <v>1</v>
      </c>
      <c r="V341" s="10">
        <v>63</v>
      </c>
      <c r="W341" s="5">
        <v>1.5873015873015872E-2</v>
      </c>
      <c r="X341" s="5">
        <v>0.05</v>
      </c>
      <c r="Y341" s="5">
        <v>0.31746000000000002</v>
      </c>
      <c r="Z341" s="3">
        <v>785</v>
      </c>
      <c r="AA341" s="11">
        <v>1.25</v>
      </c>
      <c r="AB341" s="3">
        <v>606</v>
      </c>
      <c r="AC341">
        <v>9</v>
      </c>
      <c r="AD341" s="3">
        <v>22</v>
      </c>
      <c r="AE341">
        <v>2</v>
      </c>
      <c r="AF341">
        <v>12</v>
      </c>
      <c r="AG341" s="5">
        <v>0.16666666666666666</v>
      </c>
      <c r="AH341" s="5">
        <v>0.1</v>
      </c>
      <c r="AI341" s="5">
        <v>1.66666</v>
      </c>
      <c r="AJ341" s="3">
        <v>319</v>
      </c>
      <c r="AK341" s="5">
        <v>0</v>
      </c>
      <c r="AL341" s="5">
        <v>0.4</v>
      </c>
      <c r="AM341" s="5">
        <v>0</v>
      </c>
      <c r="AN341" s="3">
        <v>1150</v>
      </c>
      <c r="AO341">
        <v>0</v>
      </c>
      <c r="AP341">
        <v>0</v>
      </c>
      <c r="AQ341" s="5" t="s">
        <v>653</v>
      </c>
      <c r="AR341" s="5">
        <v>0.8</v>
      </c>
      <c r="AS341" s="5">
        <v>0</v>
      </c>
      <c r="AT341" s="5">
        <v>902</v>
      </c>
    </row>
    <row r="342" spans="1:46" hidden="1">
      <c r="A342" t="str">
        <f>_xlfn.XLOOKUP(Table13[[#This Row],[SAP]],'Location List'!B:B,'Location List'!G:G)</f>
        <v>SOUTH TX/RGV</v>
      </c>
      <c r="B342" t="str">
        <f>LEFT(Table13[[#This Row],[Sap: Loaction]],4)</f>
        <v>5DSX</v>
      </c>
      <c r="C342" s="4" t="str">
        <f>_xlfn.XLOOKUP(Table13[[#This Row],[Employee]],'Location List'!M:M,'Location List'!N:N,"",0)</f>
        <v>RSM</v>
      </c>
      <c r="D342" t="s">
        <v>973</v>
      </c>
      <c r="E342" t="s">
        <v>959</v>
      </c>
      <c r="F342" t="s">
        <v>570</v>
      </c>
      <c r="G342" s="3">
        <v>5</v>
      </c>
      <c r="H342" s="3">
        <v>1213</v>
      </c>
      <c r="I342">
        <v>781.85</v>
      </c>
      <c r="J342" t="s">
        <v>454</v>
      </c>
      <c r="K342" s="6">
        <v>3.76</v>
      </c>
      <c r="L342" s="6">
        <v>40</v>
      </c>
      <c r="M342" s="5">
        <v>9.4E-2</v>
      </c>
      <c r="N342" s="3">
        <v>1133</v>
      </c>
      <c r="O342" s="10">
        <v>2</v>
      </c>
      <c r="P342" s="10">
        <v>135</v>
      </c>
      <c r="Q342" s="5">
        <v>1.4814814814814815E-2</v>
      </c>
      <c r="R342" s="5">
        <v>0.19</v>
      </c>
      <c r="S342" s="5">
        <v>7.7967999999999996E-2</v>
      </c>
      <c r="T342" s="3">
        <v>1320</v>
      </c>
      <c r="U342" s="10">
        <v>4</v>
      </c>
      <c r="V342" s="10">
        <v>135</v>
      </c>
      <c r="W342" s="5">
        <v>2.9629629629629631E-2</v>
      </c>
      <c r="X342" s="5">
        <v>0.05</v>
      </c>
      <c r="Y342" s="5">
        <v>0.59258</v>
      </c>
      <c r="Z342" s="3">
        <v>464</v>
      </c>
      <c r="AA342" s="11">
        <v>0.57142800000000005</v>
      </c>
      <c r="AB342" s="3">
        <v>1141</v>
      </c>
      <c r="AC342">
        <v>10</v>
      </c>
      <c r="AD342" s="3">
        <v>1</v>
      </c>
      <c r="AE342">
        <v>3</v>
      </c>
      <c r="AF342">
        <v>25</v>
      </c>
      <c r="AG342" s="5">
        <v>0.12</v>
      </c>
      <c r="AH342" s="5">
        <v>0.1</v>
      </c>
      <c r="AI342" s="5">
        <v>1.2</v>
      </c>
      <c r="AJ342" s="3">
        <v>430</v>
      </c>
      <c r="AK342" s="5">
        <v>0.5</v>
      </c>
      <c r="AL342" s="5">
        <v>0.4</v>
      </c>
      <c r="AM342" s="5">
        <v>1.25</v>
      </c>
      <c r="AN342" s="3">
        <v>326</v>
      </c>
      <c r="AO342">
        <v>0</v>
      </c>
      <c r="AP342">
        <v>1</v>
      </c>
      <c r="AQ342" s="5">
        <v>0</v>
      </c>
      <c r="AR342" s="5">
        <v>0.8</v>
      </c>
      <c r="AS342" s="5">
        <v>0</v>
      </c>
      <c r="AT342" s="5">
        <v>902</v>
      </c>
    </row>
    <row r="343" spans="1:46" hidden="1">
      <c r="A343" t="str">
        <f>_xlfn.XLOOKUP(Table13[[#This Row],[SAP]],'Location List'!B:B,'Location List'!G:G)</f>
        <v>WEST TEXAS</v>
      </c>
      <c r="B343" t="str">
        <f>LEFT(Table13[[#This Row],[Sap: Loaction]],4)</f>
        <v>903E</v>
      </c>
      <c r="C343" s="4" t="str">
        <f>_xlfn.XLOOKUP(Table13[[#This Row],[Employee]],'Location List'!M:M,'Location List'!N:N,"",0)</f>
        <v/>
      </c>
      <c r="D343" t="s">
        <v>973</v>
      </c>
      <c r="E343" t="s">
        <v>880</v>
      </c>
      <c r="F343" t="s">
        <v>514</v>
      </c>
      <c r="G343" s="3">
        <v>5</v>
      </c>
      <c r="H343" s="3">
        <v>1215</v>
      </c>
      <c r="I343">
        <v>782.95</v>
      </c>
      <c r="J343" t="s">
        <v>454</v>
      </c>
      <c r="K343" s="6">
        <v>-13.69</v>
      </c>
      <c r="L343" s="6">
        <v>30</v>
      </c>
      <c r="M343" s="5">
        <v>-0.45633333333333331</v>
      </c>
      <c r="N343" s="3">
        <v>1385</v>
      </c>
      <c r="O343" s="10">
        <v>3</v>
      </c>
      <c r="P343" s="10">
        <v>39</v>
      </c>
      <c r="Q343" s="5">
        <v>7.6923076923076927E-2</v>
      </c>
      <c r="R343" s="5">
        <v>0.19</v>
      </c>
      <c r="S343" s="5">
        <v>0.40485700000000002</v>
      </c>
      <c r="T343" s="3">
        <v>1111</v>
      </c>
      <c r="U343" s="10">
        <v>1</v>
      </c>
      <c r="V343" s="10">
        <v>39</v>
      </c>
      <c r="W343" s="5">
        <v>2.564102564102564E-2</v>
      </c>
      <c r="X343" s="5">
        <v>0.05</v>
      </c>
      <c r="Y343" s="5">
        <v>0.51282000000000005</v>
      </c>
      <c r="Z343" s="3">
        <v>522</v>
      </c>
      <c r="AA343" s="11">
        <v>0.66666599999999998</v>
      </c>
      <c r="AB343" s="3">
        <v>1060</v>
      </c>
      <c r="AC343">
        <v>10</v>
      </c>
      <c r="AD343" s="3">
        <v>1</v>
      </c>
      <c r="AE343">
        <v>0</v>
      </c>
      <c r="AF343">
        <v>6</v>
      </c>
      <c r="AG343" s="5">
        <v>0</v>
      </c>
      <c r="AH343" s="5">
        <v>0.1</v>
      </c>
      <c r="AI343" s="5">
        <v>0</v>
      </c>
      <c r="AJ343" s="3">
        <v>696</v>
      </c>
      <c r="AK343" s="5">
        <v>1</v>
      </c>
      <c r="AL343" s="5">
        <v>0.4</v>
      </c>
      <c r="AM343" s="5">
        <v>2.5</v>
      </c>
      <c r="AN343" s="3">
        <v>1</v>
      </c>
      <c r="AO343">
        <v>0</v>
      </c>
      <c r="AP343">
        <v>0</v>
      </c>
      <c r="AQ343" s="5" t="s">
        <v>653</v>
      </c>
      <c r="AR343" s="5">
        <v>0.8</v>
      </c>
      <c r="AS343" s="5">
        <v>0</v>
      </c>
      <c r="AT343" s="5">
        <v>902</v>
      </c>
    </row>
    <row r="344" spans="1:46" hidden="1">
      <c r="A344" t="str">
        <f>_xlfn.XLOOKUP(Table13[[#This Row],[SAP]],'Location List'!B:B,'Location List'!G:G)</f>
        <v>DFW NORTH</v>
      </c>
      <c r="B344" t="str">
        <f>LEFT(Table13[[#This Row],[Sap: Loaction]],4)</f>
        <v>1239</v>
      </c>
      <c r="C344" s="4" t="str">
        <f>_xlfn.XLOOKUP(Table13[[#This Row],[Employee]],'Location List'!M:M,'Location List'!N:N,"",0)</f>
        <v/>
      </c>
      <c r="D344" t="s">
        <v>973</v>
      </c>
      <c r="E344" t="s">
        <v>961</v>
      </c>
      <c r="F344" t="s">
        <v>582</v>
      </c>
      <c r="G344" s="3">
        <v>5</v>
      </c>
      <c r="H344" s="3">
        <v>1221</v>
      </c>
      <c r="I344">
        <v>786.1</v>
      </c>
      <c r="J344" t="s">
        <v>454</v>
      </c>
      <c r="K344" s="6">
        <v>-12.6</v>
      </c>
      <c r="L344" s="6">
        <v>35</v>
      </c>
      <c r="M344" s="5">
        <v>-0.36</v>
      </c>
      <c r="N344" s="3">
        <v>1364</v>
      </c>
      <c r="O344" s="10">
        <v>13</v>
      </c>
      <c r="P344" s="10">
        <v>60</v>
      </c>
      <c r="Q344" s="5">
        <v>0.21666666666666667</v>
      </c>
      <c r="R344" s="5">
        <v>0.19</v>
      </c>
      <c r="S344" s="5">
        <v>1.140347</v>
      </c>
      <c r="T344" s="3">
        <v>404</v>
      </c>
      <c r="U344" s="10">
        <v>0</v>
      </c>
      <c r="V344" s="10">
        <v>60</v>
      </c>
      <c r="W344" s="5">
        <v>0</v>
      </c>
      <c r="X344" s="5">
        <v>0.05</v>
      </c>
      <c r="Y344" s="5">
        <v>0</v>
      </c>
      <c r="Z344" s="3">
        <v>994</v>
      </c>
      <c r="AA344" s="11">
        <v>0.57142800000000005</v>
      </c>
      <c r="AB344" s="3">
        <v>1141</v>
      </c>
      <c r="AC344">
        <v>10</v>
      </c>
      <c r="AD344" s="3">
        <v>1</v>
      </c>
      <c r="AE344">
        <v>0</v>
      </c>
      <c r="AF344">
        <v>5</v>
      </c>
      <c r="AG344" s="5">
        <v>0</v>
      </c>
      <c r="AH344" s="5">
        <v>0.1</v>
      </c>
      <c r="AI344" s="5">
        <v>0</v>
      </c>
      <c r="AJ344" s="3">
        <v>696</v>
      </c>
      <c r="AK344" s="5">
        <v>8.3333000000000004E-2</v>
      </c>
      <c r="AL344" s="5">
        <v>0.4</v>
      </c>
      <c r="AM344" s="5">
        <v>0.20833199999999999</v>
      </c>
      <c r="AN344" s="3">
        <v>1093</v>
      </c>
      <c r="AO344">
        <v>5</v>
      </c>
      <c r="AP344">
        <v>9</v>
      </c>
      <c r="AQ344" s="5">
        <v>0.55555555555555558</v>
      </c>
      <c r="AR344" s="5">
        <v>0.8</v>
      </c>
      <c r="AS344" s="5">
        <v>0.69444300000000003</v>
      </c>
      <c r="AT344" s="5">
        <v>734</v>
      </c>
    </row>
    <row r="345" spans="1:46" hidden="1">
      <c r="A345" t="str">
        <f>_xlfn.XLOOKUP(Table13[[#This Row],[SAP]],'Location List'!B:B,'Location List'!G:G)</f>
        <v>DFW EAST</v>
      </c>
      <c r="B345" t="str">
        <f>LEFT(Table13[[#This Row],[Sap: Loaction]],4)</f>
        <v>2536</v>
      </c>
      <c r="C345" s="4" t="str">
        <f>_xlfn.XLOOKUP(Table13[[#This Row],[Employee]],'Location List'!M:M,'Location List'!N:N,"",0)</f>
        <v/>
      </c>
      <c r="D345" t="s">
        <v>973</v>
      </c>
      <c r="E345" t="s">
        <v>949</v>
      </c>
      <c r="F345" t="s">
        <v>532</v>
      </c>
      <c r="G345" s="3">
        <v>5</v>
      </c>
      <c r="H345" s="3">
        <v>1224</v>
      </c>
      <c r="I345">
        <v>788</v>
      </c>
      <c r="J345" t="s">
        <v>454</v>
      </c>
      <c r="K345" s="6">
        <v>-21.17</v>
      </c>
      <c r="L345" s="6">
        <v>40</v>
      </c>
      <c r="M345" s="5">
        <v>-0.52925</v>
      </c>
      <c r="N345" s="3">
        <v>1398</v>
      </c>
      <c r="O345" s="10">
        <v>7</v>
      </c>
      <c r="P345" s="10">
        <v>86</v>
      </c>
      <c r="Q345" s="5">
        <v>8.1395348837209308E-2</v>
      </c>
      <c r="R345" s="5">
        <v>0.19</v>
      </c>
      <c r="S345" s="5">
        <v>0.428394</v>
      </c>
      <c r="T345" s="3">
        <v>1099</v>
      </c>
      <c r="U345" s="10">
        <v>2</v>
      </c>
      <c r="V345" s="10">
        <v>86</v>
      </c>
      <c r="W345" s="5">
        <v>2.3255813953488372E-2</v>
      </c>
      <c r="X345" s="5">
        <v>0.05</v>
      </c>
      <c r="Y345" s="5">
        <v>0.46510000000000001</v>
      </c>
      <c r="Z345" s="3">
        <v>576</v>
      </c>
      <c r="AA345" s="11">
        <v>1.666666</v>
      </c>
      <c r="AB345" s="3">
        <v>357</v>
      </c>
      <c r="AC345">
        <v>0</v>
      </c>
      <c r="AD345" s="3">
        <v>75</v>
      </c>
      <c r="AE345">
        <v>0</v>
      </c>
      <c r="AF345">
        <v>17</v>
      </c>
      <c r="AG345" s="5">
        <v>0</v>
      </c>
      <c r="AH345" s="5">
        <v>0.1</v>
      </c>
      <c r="AI345" s="5">
        <v>0</v>
      </c>
      <c r="AJ345" s="3">
        <v>696</v>
      </c>
      <c r="AK345" s="5">
        <v>0.33333333333333331</v>
      </c>
      <c r="AL345" s="5">
        <v>0.4</v>
      </c>
      <c r="AM345" s="5">
        <v>0.83333199999999996</v>
      </c>
      <c r="AN345" s="3">
        <v>631</v>
      </c>
      <c r="AO345">
        <v>0</v>
      </c>
      <c r="AP345">
        <v>0</v>
      </c>
      <c r="AQ345" s="5" t="s">
        <v>653</v>
      </c>
      <c r="AR345" s="5">
        <v>0.8</v>
      </c>
      <c r="AS345" s="5">
        <v>0</v>
      </c>
      <c r="AT345" s="5">
        <v>902</v>
      </c>
    </row>
    <row r="346" spans="1:46" hidden="1">
      <c r="A346" t="str">
        <f>_xlfn.XLOOKUP(Table13[[#This Row],[SAP]],'Location List'!B:B,'Location List'!G:G)</f>
        <v>CENTRAL TEXAS</v>
      </c>
      <c r="B346" t="str">
        <f>LEFT(Table13[[#This Row],[Sap: Loaction]],4)</f>
        <v>961F</v>
      </c>
      <c r="C346" s="4" t="str">
        <f>_xlfn.XLOOKUP(Table13[[#This Row],[Employee]],'Location List'!M:M,'Location List'!N:N,"",0)</f>
        <v/>
      </c>
      <c r="D346" t="s">
        <v>973</v>
      </c>
      <c r="E346" t="s">
        <v>870</v>
      </c>
      <c r="F346" t="s">
        <v>547</v>
      </c>
      <c r="G346" s="3">
        <v>5</v>
      </c>
      <c r="H346" s="3">
        <v>1226</v>
      </c>
      <c r="I346">
        <v>789.9</v>
      </c>
      <c r="J346" t="s">
        <v>454</v>
      </c>
      <c r="K346" s="6">
        <v>-21.06</v>
      </c>
      <c r="L346" s="6">
        <v>34.999999999999993</v>
      </c>
      <c r="M346" s="5">
        <v>-0.60171428571428576</v>
      </c>
      <c r="N346" s="3">
        <v>1405</v>
      </c>
      <c r="O346" s="10">
        <v>4</v>
      </c>
      <c r="P346" s="10">
        <v>24</v>
      </c>
      <c r="Q346" s="5">
        <v>0.16666666666666666</v>
      </c>
      <c r="R346" s="5">
        <v>0.19</v>
      </c>
      <c r="S346" s="5">
        <v>0.877189</v>
      </c>
      <c r="T346" s="3">
        <v>606</v>
      </c>
      <c r="U346" s="10">
        <v>0</v>
      </c>
      <c r="V346" s="10">
        <v>24</v>
      </c>
      <c r="W346" s="5">
        <v>0</v>
      </c>
      <c r="X346" s="5">
        <v>0.05</v>
      </c>
      <c r="Y346" s="5">
        <v>0</v>
      </c>
      <c r="Z346" s="3">
        <v>994</v>
      </c>
      <c r="AA346" s="11">
        <v>0.5</v>
      </c>
      <c r="AB346" s="3">
        <v>1172</v>
      </c>
      <c r="AC346">
        <v>0</v>
      </c>
      <c r="AD346" s="3">
        <v>75</v>
      </c>
      <c r="AE346">
        <v>1</v>
      </c>
      <c r="AF346">
        <v>4</v>
      </c>
      <c r="AG346" s="5">
        <v>0.25</v>
      </c>
      <c r="AH346" s="5">
        <v>0.1</v>
      </c>
      <c r="AI346" s="5">
        <v>2.5</v>
      </c>
      <c r="AJ346" s="3">
        <v>191</v>
      </c>
      <c r="AK346" s="5" t="s">
        <v>653</v>
      </c>
      <c r="AL346" s="5">
        <v>0.4</v>
      </c>
      <c r="AM346" s="5">
        <v>0</v>
      </c>
      <c r="AN346" s="3">
        <v>1150</v>
      </c>
      <c r="AO346">
        <v>0</v>
      </c>
      <c r="AP346">
        <v>0</v>
      </c>
      <c r="AQ346" s="5" t="s">
        <v>653</v>
      </c>
      <c r="AR346" s="5">
        <v>0.8</v>
      </c>
      <c r="AS346" s="5">
        <v>0</v>
      </c>
      <c r="AT346" s="5">
        <v>902</v>
      </c>
    </row>
    <row r="347" spans="1:46" hidden="1">
      <c r="A347" t="str">
        <f>_xlfn.XLOOKUP(Table13[[#This Row],[SAP]],'Location List'!B:B,'Location List'!G:G)</f>
        <v>SA SOUTH</v>
      </c>
      <c r="B347" t="str">
        <f>LEFT(Table13[[#This Row],[Sap: Loaction]],4)</f>
        <v>5441</v>
      </c>
      <c r="C347" s="4" t="str">
        <f>_xlfn.XLOOKUP(Table13[[#This Row],[Employee]],'Location List'!M:M,'Location List'!N:N,"",0)</f>
        <v/>
      </c>
      <c r="D347" t="s">
        <v>973</v>
      </c>
      <c r="E347" t="s">
        <v>811</v>
      </c>
      <c r="F347" t="s">
        <v>535</v>
      </c>
      <c r="G347" s="3">
        <v>5</v>
      </c>
      <c r="H347" s="3">
        <v>1228</v>
      </c>
      <c r="I347">
        <v>790.55</v>
      </c>
      <c r="J347" t="s">
        <v>454</v>
      </c>
      <c r="K347" s="6">
        <v>0.7</v>
      </c>
      <c r="L347" s="6">
        <v>39.999999999999993</v>
      </c>
      <c r="M347" s="5">
        <v>1.7500000000000002E-2</v>
      </c>
      <c r="N347" s="3">
        <v>1192</v>
      </c>
      <c r="O347" s="10">
        <v>12</v>
      </c>
      <c r="P347" s="10">
        <v>116</v>
      </c>
      <c r="Q347" s="5">
        <v>0.10344827586206896</v>
      </c>
      <c r="R347" s="5">
        <v>0.19</v>
      </c>
      <c r="S347" s="5">
        <v>0.54446300000000003</v>
      </c>
      <c r="T347" s="3">
        <v>963</v>
      </c>
      <c r="U347" s="10">
        <v>3</v>
      </c>
      <c r="V347" s="10">
        <v>116</v>
      </c>
      <c r="W347" s="5">
        <v>2.5862068965517241E-2</v>
      </c>
      <c r="X347" s="5">
        <v>0.05</v>
      </c>
      <c r="Y347" s="5">
        <v>0.51724000000000003</v>
      </c>
      <c r="Z347" s="3">
        <v>520</v>
      </c>
      <c r="AA347" s="11">
        <v>0.69230700000000001</v>
      </c>
      <c r="AB347" s="3">
        <v>1051</v>
      </c>
      <c r="AC347">
        <v>9.4</v>
      </c>
      <c r="AD347" s="3">
        <v>15</v>
      </c>
      <c r="AE347">
        <v>3</v>
      </c>
      <c r="AF347">
        <v>23</v>
      </c>
      <c r="AG347" s="5">
        <v>0.13043478260869565</v>
      </c>
      <c r="AH347" s="5">
        <v>0.1</v>
      </c>
      <c r="AI347" s="5">
        <v>1.3043400000000001</v>
      </c>
      <c r="AJ347" s="3">
        <v>407</v>
      </c>
      <c r="AK347" s="5">
        <v>8.3333333333333329E-2</v>
      </c>
      <c r="AL347" s="5">
        <v>0.4</v>
      </c>
      <c r="AM347" s="5">
        <v>0.20833199999999999</v>
      </c>
      <c r="AN347" s="3">
        <v>1093</v>
      </c>
      <c r="AO347">
        <v>0</v>
      </c>
      <c r="AP347">
        <v>1</v>
      </c>
      <c r="AQ347">
        <v>0</v>
      </c>
      <c r="AR347" s="5">
        <v>0.8</v>
      </c>
      <c r="AS347" s="5">
        <v>0</v>
      </c>
      <c r="AT347" s="5">
        <v>902</v>
      </c>
    </row>
    <row r="348" spans="1:46" hidden="1">
      <c r="A348" t="str">
        <f>_xlfn.XLOOKUP(Table13[[#This Row],[SAP]],'Location List'!B:B,'Location List'!G:G)</f>
        <v>MO/IA/NE</v>
      </c>
      <c r="B348" t="str">
        <f>LEFT(Table13[[#This Row],[Sap: Loaction]],4)</f>
        <v>4BSH</v>
      </c>
      <c r="C348" s="4" t="str">
        <f>_xlfn.XLOOKUP(Table13[[#This Row],[Employee]],'Location List'!M:M,'Location List'!N:N,"",0)</f>
        <v/>
      </c>
      <c r="D348" t="s">
        <v>973</v>
      </c>
      <c r="E348" t="s">
        <v>909</v>
      </c>
      <c r="F348" t="s">
        <v>578</v>
      </c>
      <c r="G348" s="3">
        <v>5</v>
      </c>
      <c r="H348" s="3">
        <v>1236</v>
      </c>
      <c r="I348">
        <v>795.25</v>
      </c>
      <c r="J348" t="s">
        <v>454</v>
      </c>
      <c r="K348" s="6">
        <v>18.3</v>
      </c>
      <c r="L348" s="6">
        <v>35</v>
      </c>
      <c r="M348" s="5">
        <v>0.52285714285714291</v>
      </c>
      <c r="N348" s="3">
        <v>841</v>
      </c>
      <c r="O348" s="10">
        <v>4</v>
      </c>
      <c r="P348" s="10">
        <v>102</v>
      </c>
      <c r="Q348" s="5">
        <v>3.9215686274509803E-2</v>
      </c>
      <c r="R348" s="5">
        <v>0.19</v>
      </c>
      <c r="S348" s="5">
        <v>0.20639399999999999</v>
      </c>
      <c r="T348" s="3">
        <v>1252</v>
      </c>
      <c r="U348" s="10">
        <v>2</v>
      </c>
      <c r="V348" s="10">
        <v>102</v>
      </c>
      <c r="W348" s="5">
        <v>1.9607843137254902E-2</v>
      </c>
      <c r="X348" s="5">
        <v>0.05</v>
      </c>
      <c r="Y348" s="5">
        <v>0.39213999999999999</v>
      </c>
      <c r="Z348" s="3">
        <v>670</v>
      </c>
      <c r="AA348" s="11">
        <v>0.4</v>
      </c>
      <c r="AB348" s="3">
        <v>1247</v>
      </c>
      <c r="AC348">
        <v>8.1999999999999993</v>
      </c>
      <c r="AD348" s="3">
        <v>35</v>
      </c>
      <c r="AE348">
        <v>0</v>
      </c>
      <c r="AF348">
        <v>21</v>
      </c>
      <c r="AG348" s="5">
        <v>0</v>
      </c>
      <c r="AH348" s="5">
        <v>0.1</v>
      </c>
      <c r="AI348" s="5">
        <v>0</v>
      </c>
      <c r="AJ348" s="3">
        <v>696</v>
      </c>
      <c r="AK348" s="5">
        <v>0.55555533333333329</v>
      </c>
      <c r="AL348" s="5">
        <v>0.4</v>
      </c>
      <c r="AM348" s="5">
        <v>1.388887</v>
      </c>
      <c r="AN348" s="3">
        <v>289</v>
      </c>
      <c r="AO348">
        <v>0</v>
      </c>
      <c r="AP348">
        <v>0</v>
      </c>
      <c r="AQ348" t="s">
        <v>653</v>
      </c>
      <c r="AR348" s="5">
        <v>0.8</v>
      </c>
      <c r="AS348" s="5">
        <v>0</v>
      </c>
      <c r="AT348" s="5">
        <v>902</v>
      </c>
    </row>
    <row r="349" spans="1:46" hidden="1">
      <c r="A349" t="str">
        <f>_xlfn.XLOOKUP(Table13[[#This Row],[SAP]],'Location List'!B:B,'Location List'!G:G)</f>
        <v>MO/IA/NE</v>
      </c>
      <c r="B349" t="str">
        <f>LEFT(Table13[[#This Row],[Sap: Loaction]],4)</f>
        <v>4BSP</v>
      </c>
      <c r="C349" s="4" t="str">
        <f>_xlfn.XLOOKUP(Table13[[#This Row],[Employee]],'Location List'!M:M,'Location List'!N:N,"",0)</f>
        <v/>
      </c>
      <c r="D349" t="s">
        <v>973</v>
      </c>
      <c r="E349" t="s">
        <v>899</v>
      </c>
      <c r="F349" t="s">
        <v>569</v>
      </c>
      <c r="G349" s="3">
        <v>5</v>
      </c>
      <c r="H349" s="3">
        <v>1238</v>
      </c>
      <c r="I349">
        <v>795.75</v>
      </c>
      <c r="J349" t="s">
        <v>454</v>
      </c>
      <c r="K349" s="6">
        <v>-40.56</v>
      </c>
      <c r="L349" s="6">
        <v>30</v>
      </c>
      <c r="M349" s="5">
        <v>-1.3520000000000001</v>
      </c>
      <c r="N349" s="3">
        <v>1443</v>
      </c>
      <c r="O349" s="10">
        <v>1</v>
      </c>
      <c r="P349" s="10">
        <v>15</v>
      </c>
      <c r="Q349" s="5">
        <v>6.6666666666666666E-2</v>
      </c>
      <c r="R349" s="5">
        <v>0.19</v>
      </c>
      <c r="S349" s="5">
        <v>0.35087299999999999</v>
      </c>
      <c r="T349" s="3">
        <v>1156</v>
      </c>
      <c r="U349" s="10">
        <v>1</v>
      </c>
      <c r="V349" s="10">
        <v>15</v>
      </c>
      <c r="W349" s="5">
        <v>6.6666666666666666E-2</v>
      </c>
      <c r="X349" s="5">
        <v>0.05</v>
      </c>
      <c r="Y349" s="5">
        <v>1.3333200000000001</v>
      </c>
      <c r="Z349" s="3">
        <v>100</v>
      </c>
      <c r="AA349" s="11">
        <v>2</v>
      </c>
      <c r="AB349" s="3">
        <v>210</v>
      </c>
      <c r="AC349">
        <v>0</v>
      </c>
      <c r="AD349" s="3">
        <v>75</v>
      </c>
      <c r="AE349">
        <v>0</v>
      </c>
      <c r="AF349">
        <v>8</v>
      </c>
      <c r="AG349" s="5">
        <v>0</v>
      </c>
      <c r="AH349" s="5">
        <v>0.1</v>
      </c>
      <c r="AI349" s="5">
        <v>0</v>
      </c>
      <c r="AJ349" s="3">
        <v>696</v>
      </c>
      <c r="AK349" s="5">
        <v>0</v>
      </c>
      <c r="AL349" s="5">
        <v>0.4</v>
      </c>
      <c r="AM349" s="5">
        <v>0</v>
      </c>
      <c r="AN349" s="3">
        <v>1150</v>
      </c>
      <c r="AO349">
        <v>0</v>
      </c>
      <c r="AP349">
        <v>0</v>
      </c>
      <c r="AQ349" s="5" t="s">
        <v>653</v>
      </c>
      <c r="AR349" s="5">
        <v>0.8</v>
      </c>
      <c r="AS349" s="5">
        <v>0</v>
      </c>
      <c r="AT349" s="5">
        <v>902</v>
      </c>
    </row>
    <row r="350" spans="1:46" hidden="1">
      <c r="A350" t="str">
        <f>_xlfn.XLOOKUP(Table13[[#This Row],[SAP]],'Location List'!B:B,'Location List'!G:G)</f>
        <v>SOUTH TX/RGV</v>
      </c>
      <c r="B350" t="str">
        <f>LEFT(Table13[[#This Row],[Sap: Loaction]],4)</f>
        <v>5332</v>
      </c>
      <c r="C350" s="4" t="str">
        <f>_xlfn.XLOOKUP(Table13[[#This Row],[Employee]],'Location List'!M:M,'Location List'!N:N,"",0)</f>
        <v>RSM</v>
      </c>
      <c r="D350" t="s">
        <v>973</v>
      </c>
      <c r="E350" t="s">
        <v>958</v>
      </c>
      <c r="F350" t="s">
        <v>563</v>
      </c>
      <c r="G350" s="3">
        <v>5</v>
      </c>
      <c r="H350" s="3">
        <v>1239</v>
      </c>
      <c r="I350">
        <v>796.55</v>
      </c>
      <c r="J350" t="s">
        <v>454</v>
      </c>
      <c r="K350" s="6">
        <v>0.97</v>
      </c>
      <c r="L350" s="6">
        <v>35</v>
      </c>
      <c r="M350" s="5">
        <v>2.7714285714285716E-2</v>
      </c>
      <c r="N350" s="3">
        <v>1185</v>
      </c>
      <c r="O350" s="10">
        <v>0</v>
      </c>
      <c r="P350" s="10">
        <v>73</v>
      </c>
      <c r="Q350" s="5">
        <v>0</v>
      </c>
      <c r="R350" s="5">
        <v>0.19</v>
      </c>
      <c r="S350" s="5">
        <v>0</v>
      </c>
      <c r="T350" s="3">
        <v>1332</v>
      </c>
      <c r="U350" s="10">
        <v>0</v>
      </c>
      <c r="V350" s="10">
        <v>73</v>
      </c>
      <c r="W350" s="5">
        <v>0</v>
      </c>
      <c r="X350" s="5">
        <v>0.05</v>
      </c>
      <c r="Y350" s="5">
        <v>0</v>
      </c>
      <c r="Z350" s="3">
        <v>994</v>
      </c>
      <c r="AA350" s="11">
        <v>2.6666660000000002</v>
      </c>
      <c r="AB350" s="3">
        <v>114</v>
      </c>
      <c r="AC350">
        <v>9.75</v>
      </c>
      <c r="AD350" s="3">
        <v>7</v>
      </c>
      <c r="AE350">
        <v>4</v>
      </c>
      <c r="AF350">
        <v>18</v>
      </c>
      <c r="AG350" s="5">
        <v>0.22222222222222221</v>
      </c>
      <c r="AH350" s="5">
        <v>0.1</v>
      </c>
      <c r="AI350" s="5">
        <v>2.2222200000000001</v>
      </c>
      <c r="AJ350" s="3">
        <v>238</v>
      </c>
      <c r="AK350" s="5" t="s">
        <v>653</v>
      </c>
      <c r="AL350" s="5">
        <v>0.4</v>
      </c>
      <c r="AM350" s="5">
        <v>0</v>
      </c>
      <c r="AN350" s="3">
        <v>1150</v>
      </c>
      <c r="AO350">
        <v>0</v>
      </c>
      <c r="AP350">
        <v>0</v>
      </c>
      <c r="AQ350" t="s">
        <v>653</v>
      </c>
      <c r="AR350" s="5">
        <v>0.8</v>
      </c>
      <c r="AS350" s="5">
        <v>0</v>
      </c>
      <c r="AT350" s="5">
        <v>902</v>
      </c>
    </row>
    <row r="351" spans="1:46" hidden="1">
      <c r="A351" t="str">
        <f>_xlfn.XLOOKUP(Table13[[#This Row],[SAP]],'Location List'!B:B,'Location List'!G:G)</f>
        <v>WEST TEXAS</v>
      </c>
      <c r="B351" t="str">
        <f>LEFT(Table13[[#This Row],[Sap: Loaction]],4)</f>
        <v>1FSX</v>
      </c>
      <c r="C351" s="4" t="str">
        <f>_xlfn.XLOOKUP(Table13[[#This Row],[Employee]],'Location List'!M:M,'Location List'!N:N,"",0)</f>
        <v>RSM</v>
      </c>
      <c r="D351" t="s">
        <v>973</v>
      </c>
      <c r="E351" t="s">
        <v>813</v>
      </c>
      <c r="F351" t="s">
        <v>517</v>
      </c>
      <c r="G351" s="3">
        <v>5</v>
      </c>
      <c r="H351" s="3">
        <v>1242</v>
      </c>
      <c r="I351">
        <v>798.25</v>
      </c>
      <c r="J351" t="s">
        <v>454</v>
      </c>
      <c r="K351" s="6">
        <v>2.61</v>
      </c>
      <c r="L351" s="6">
        <v>30</v>
      </c>
      <c r="M351" s="5">
        <v>8.6999999999999994E-2</v>
      </c>
      <c r="N351" s="3">
        <v>1138</v>
      </c>
      <c r="O351" s="10">
        <v>0</v>
      </c>
      <c r="P351" s="10">
        <v>61</v>
      </c>
      <c r="Q351" s="5">
        <v>0</v>
      </c>
      <c r="R351" s="5">
        <v>0.19</v>
      </c>
      <c r="S351" s="5">
        <v>0</v>
      </c>
      <c r="T351" s="3">
        <v>1332</v>
      </c>
      <c r="U351" s="10">
        <v>1</v>
      </c>
      <c r="V351" s="10">
        <v>61</v>
      </c>
      <c r="W351" s="5">
        <v>1.6393442622950821E-2</v>
      </c>
      <c r="X351" s="5">
        <v>0.05</v>
      </c>
      <c r="Y351" s="5">
        <v>0.32785999999999998</v>
      </c>
      <c r="Z351" s="3">
        <v>765</v>
      </c>
      <c r="AA351" s="11">
        <v>1.3333330000000001</v>
      </c>
      <c r="AB351" s="3">
        <v>550</v>
      </c>
      <c r="AC351">
        <v>0</v>
      </c>
      <c r="AD351" s="3">
        <v>75</v>
      </c>
      <c r="AE351">
        <v>1</v>
      </c>
      <c r="AF351">
        <v>3</v>
      </c>
      <c r="AG351" s="5">
        <v>0.33333333333333331</v>
      </c>
      <c r="AH351" s="5">
        <v>0.1</v>
      </c>
      <c r="AI351" s="5">
        <v>3.3333300000000001</v>
      </c>
      <c r="AJ351" s="3">
        <v>113</v>
      </c>
      <c r="AK351" s="5" t="s">
        <v>653</v>
      </c>
      <c r="AL351" s="5">
        <v>0.4</v>
      </c>
      <c r="AM351" s="5">
        <v>0</v>
      </c>
      <c r="AN351" s="3">
        <v>1150</v>
      </c>
      <c r="AO351">
        <v>0</v>
      </c>
      <c r="AP351">
        <v>0</v>
      </c>
      <c r="AQ351" s="5" t="s">
        <v>653</v>
      </c>
      <c r="AR351" s="5">
        <v>0.8</v>
      </c>
      <c r="AS351" s="5">
        <v>0</v>
      </c>
      <c r="AT351" s="5">
        <v>902</v>
      </c>
    </row>
    <row r="352" spans="1:46" hidden="1">
      <c r="A352" t="str">
        <f>_xlfn.XLOOKUP(Table13[[#This Row],[SAP]],'Location List'!B:B,'Location List'!G:G)</f>
        <v>CENTRAL TEXAS</v>
      </c>
      <c r="B352" t="str">
        <f>LEFT(Table13[[#This Row],[Sap: Loaction]],4)</f>
        <v>1DST</v>
      </c>
      <c r="C352" s="4" t="str">
        <f>_xlfn.XLOOKUP(Table13[[#This Row],[Employee]],'Location List'!M:M,'Location List'!N:N,"",0)</f>
        <v/>
      </c>
      <c r="D352" t="s">
        <v>973</v>
      </c>
      <c r="E352" t="s">
        <v>840</v>
      </c>
      <c r="F352" t="s">
        <v>539</v>
      </c>
      <c r="G352" s="3">
        <v>5</v>
      </c>
      <c r="H352" s="3">
        <v>1246</v>
      </c>
      <c r="I352">
        <v>800.75</v>
      </c>
      <c r="J352" t="s">
        <v>454</v>
      </c>
      <c r="K352" s="6">
        <v>-2.5299999999999998</v>
      </c>
      <c r="L352" s="6">
        <v>40</v>
      </c>
      <c r="M352" s="5">
        <v>-6.3250000000000001E-2</v>
      </c>
      <c r="N352" s="3">
        <v>1271</v>
      </c>
      <c r="O352" s="10">
        <v>5</v>
      </c>
      <c r="P352" s="10">
        <v>94</v>
      </c>
      <c r="Q352" s="5">
        <v>5.3191489361702128E-2</v>
      </c>
      <c r="R352" s="5">
        <v>0.19</v>
      </c>
      <c r="S352" s="5">
        <v>0.27995199999999998</v>
      </c>
      <c r="T352" s="3">
        <v>1209</v>
      </c>
      <c r="U352" s="10">
        <v>0</v>
      </c>
      <c r="V352" s="10">
        <v>94</v>
      </c>
      <c r="W352" s="5">
        <v>0</v>
      </c>
      <c r="X352" s="5">
        <v>0.05</v>
      </c>
      <c r="Y352" s="5">
        <v>0</v>
      </c>
      <c r="Z352" s="3">
        <v>994</v>
      </c>
      <c r="AA352" s="11">
        <v>1</v>
      </c>
      <c r="AB352" s="3">
        <v>741</v>
      </c>
      <c r="AC352">
        <v>10</v>
      </c>
      <c r="AD352" s="3">
        <v>1</v>
      </c>
      <c r="AE352">
        <v>0</v>
      </c>
      <c r="AF352">
        <v>8</v>
      </c>
      <c r="AG352" s="5">
        <v>0</v>
      </c>
      <c r="AH352" s="5">
        <v>0.1</v>
      </c>
      <c r="AI352" s="5">
        <v>0</v>
      </c>
      <c r="AJ352" s="3">
        <v>696</v>
      </c>
      <c r="AK352" s="5">
        <v>1</v>
      </c>
      <c r="AL352" s="5">
        <v>0.4</v>
      </c>
      <c r="AM352" s="5">
        <v>2.5</v>
      </c>
      <c r="AN352" s="3">
        <v>1</v>
      </c>
      <c r="AO352">
        <v>0</v>
      </c>
      <c r="AP352">
        <v>0</v>
      </c>
      <c r="AQ352" t="s">
        <v>653</v>
      </c>
      <c r="AR352" s="5">
        <v>0.8</v>
      </c>
      <c r="AS352" s="5">
        <v>0</v>
      </c>
      <c r="AT352" s="5">
        <v>902</v>
      </c>
    </row>
    <row r="353" spans="1:46" hidden="1">
      <c r="A353" t="str">
        <f>_xlfn.XLOOKUP(Table13[[#This Row],[SAP]],'Location List'!B:B,'Location List'!G:G)</f>
        <v>SA/HILL COUNTRY</v>
      </c>
      <c r="B353" t="str">
        <f>LEFT(Table13[[#This Row],[Sap: Loaction]],4)</f>
        <v>569D</v>
      </c>
      <c r="C353" s="4" t="str">
        <f>_xlfn.XLOOKUP(Table13[[#This Row],[Employee]],'Location List'!M:M,'Location List'!N:N,"",0)</f>
        <v/>
      </c>
      <c r="D353" t="s">
        <v>973</v>
      </c>
      <c r="E353" t="s">
        <v>868</v>
      </c>
      <c r="F353" t="s">
        <v>513</v>
      </c>
      <c r="G353" s="3">
        <v>5</v>
      </c>
      <c r="H353" s="3">
        <v>1247</v>
      </c>
      <c r="I353">
        <v>800.8</v>
      </c>
      <c r="J353" t="s">
        <v>454</v>
      </c>
      <c r="K353" s="6">
        <v>-12.73</v>
      </c>
      <c r="L353" s="6">
        <v>35</v>
      </c>
      <c r="M353" s="5">
        <v>-0.36371428571428571</v>
      </c>
      <c r="N353" s="3">
        <v>1365</v>
      </c>
      <c r="O353" s="10">
        <v>3</v>
      </c>
      <c r="P353" s="10">
        <v>61</v>
      </c>
      <c r="Q353" s="5">
        <v>4.9180327868852458E-2</v>
      </c>
      <c r="R353" s="5">
        <v>0.19</v>
      </c>
      <c r="S353" s="5">
        <v>0.25884200000000002</v>
      </c>
      <c r="T353" s="3">
        <v>1224</v>
      </c>
      <c r="U353" s="10">
        <v>3</v>
      </c>
      <c r="V353" s="10">
        <v>61</v>
      </c>
      <c r="W353" s="5">
        <v>4.9180327868852458E-2</v>
      </c>
      <c r="X353" s="5">
        <v>0.05</v>
      </c>
      <c r="Y353" s="5">
        <v>0.98360000000000003</v>
      </c>
      <c r="Z353" s="3">
        <v>228</v>
      </c>
      <c r="AA353" s="11">
        <v>1.75</v>
      </c>
      <c r="AB353" s="3">
        <v>324</v>
      </c>
      <c r="AC353">
        <v>10</v>
      </c>
      <c r="AD353" s="3">
        <v>1</v>
      </c>
      <c r="AE353">
        <v>1</v>
      </c>
      <c r="AF353">
        <v>16</v>
      </c>
      <c r="AG353" s="5">
        <v>6.25E-2</v>
      </c>
      <c r="AH353" s="5">
        <v>0.1</v>
      </c>
      <c r="AI353" s="5">
        <v>0.625</v>
      </c>
      <c r="AJ353" s="3">
        <v>605</v>
      </c>
      <c r="AK353" s="5">
        <v>0</v>
      </c>
      <c r="AL353" s="5">
        <v>0.4</v>
      </c>
      <c r="AM353" s="5">
        <v>0</v>
      </c>
      <c r="AN353" s="3">
        <v>1150</v>
      </c>
      <c r="AO353">
        <v>0</v>
      </c>
      <c r="AP353">
        <v>0</v>
      </c>
      <c r="AQ353" s="5" t="s">
        <v>653</v>
      </c>
      <c r="AR353" s="5">
        <v>0.8</v>
      </c>
      <c r="AS353" s="5">
        <v>0</v>
      </c>
      <c r="AT353" s="5">
        <v>902</v>
      </c>
    </row>
    <row r="354" spans="1:46" hidden="1">
      <c r="A354" t="str">
        <f>_xlfn.XLOOKUP(Table13[[#This Row],[SAP]],'Location List'!B:B,'Location List'!G:G)</f>
        <v>DFW EAST</v>
      </c>
      <c r="B354" t="str">
        <f>LEFT(Table13[[#This Row],[Sap: Loaction]],4)</f>
        <v>6ESH</v>
      </c>
      <c r="C354" s="4" t="str">
        <f>_xlfn.XLOOKUP(Table13[[#This Row],[Employee]],'Location List'!M:M,'Location List'!N:N,"",0)</f>
        <v>RSM</v>
      </c>
      <c r="D354" t="s">
        <v>973</v>
      </c>
      <c r="E354" t="s">
        <v>955</v>
      </c>
      <c r="F354" t="s">
        <v>548</v>
      </c>
      <c r="G354" s="3">
        <v>5</v>
      </c>
      <c r="H354" s="3">
        <v>1248</v>
      </c>
      <c r="I354">
        <v>802.8</v>
      </c>
      <c r="J354" t="s">
        <v>454</v>
      </c>
      <c r="K354" s="6">
        <v>4.3899999999999997</v>
      </c>
      <c r="L354" s="6">
        <v>40</v>
      </c>
      <c r="M354" s="5">
        <v>0.10975</v>
      </c>
      <c r="N354" s="3">
        <v>1122</v>
      </c>
      <c r="O354" s="10">
        <v>3</v>
      </c>
      <c r="P354" s="10">
        <v>77</v>
      </c>
      <c r="Q354" s="5">
        <v>3.896103896103896E-2</v>
      </c>
      <c r="R354" s="5">
        <v>0.19</v>
      </c>
      <c r="S354" s="5">
        <v>0.20505699999999999</v>
      </c>
      <c r="T354" s="3">
        <v>1257</v>
      </c>
      <c r="U354" s="10">
        <v>3</v>
      </c>
      <c r="V354" s="10">
        <v>77</v>
      </c>
      <c r="W354" s="5">
        <v>3.896103896103896E-2</v>
      </c>
      <c r="X354" s="5">
        <v>0.05</v>
      </c>
      <c r="Y354" s="5">
        <v>0.77922000000000002</v>
      </c>
      <c r="Z354" s="3">
        <v>340</v>
      </c>
      <c r="AA354" s="11">
        <v>1.6</v>
      </c>
      <c r="AB354" s="3">
        <v>394</v>
      </c>
      <c r="AC354">
        <v>10</v>
      </c>
      <c r="AD354" s="3">
        <v>1</v>
      </c>
      <c r="AE354">
        <v>0</v>
      </c>
      <c r="AF354">
        <v>10</v>
      </c>
      <c r="AG354" s="5">
        <v>0</v>
      </c>
      <c r="AH354" s="5">
        <v>0.1</v>
      </c>
      <c r="AI354" s="5">
        <v>0</v>
      </c>
      <c r="AJ354" s="3">
        <v>696</v>
      </c>
      <c r="AK354" s="5">
        <v>0</v>
      </c>
      <c r="AL354" s="5">
        <v>0.4</v>
      </c>
      <c r="AM354" s="5">
        <v>0</v>
      </c>
      <c r="AN354" s="3">
        <v>1150</v>
      </c>
      <c r="AO354">
        <v>0</v>
      </c>
      <c r="AP354">
        <v>0</v>
      </c>
      <c r="AQ354" s="5" t="s">
        <v>653</v>
      </c>
      <c r="AR354" s="5">
        <v>0.8</v>
      </c>
      <c r="AS354" s="5">
        <v>0</v>
      </c>
      <c r="AT354" s="5">
        <v>902</v>
      </c>
    </row>
    <row r="355" spans="1:46" hidden="1">
      <c r="A355" t="str">
        <f>_xlfn.XLOOKUP(Table13[[#This Row],[SAP]],'Location List'!B:B,'Location List'!G:G)</f>
        <v>DFW NORTH</v>
      </c>
      <c r="B355" t="str">
        <f>LEFT(Table13[[#This Row],[Sap: Loaction]],4)</f>
        <v>1BSA</v>
      </c>
      <c r="C355" s="4" t="str">
        <f>_xlfn.XLOOKUP(Table13[[#This Row],[Employee]],'Location List'!M:M,'Location List'!N:N,"",0)</f>
        <v>RSM</v>
      </c>
      <c r="D355" t="s">
        <v>973</v>
      </c>
      <c r="E355" t="s">
        <v>932</v>
      </c>
      <c r="F355" t="s">
        <v>580</v>
      </c>
      <c r="G355" s="3">
        <v>5</v>
      </c>
      <c r="H355" s="3">
        <v>1249</v>
      </c>
      <c r="I355">
        <v>803.75</v>
      </c>
      <c r="J355" t="s">
        <v>454</v>
      </c>
      <c r="K355" s="6">
        <v>6.63</v>
      </c>
      <c r="L355" s="6">
        <v>35</v>
      </c>
      <c r="M355" s="5">
        <v>0.18942857142857142</v>
      </c>
      <c r="N355" s="3">
        <v>1073</v>
      </c>
      <c r="O355" s="10">
        <v>2</v>
      </c>
      <c r="P355" s="10">
        <v>47</v>
      </c>
      <c r="Q355" s="5">
        <v>4.2553191489361701E-2</v>
      </c>
      <c r="R355" s="5">
        <v>0.19</v>
      </c>
      <c r="S355" s="5">
        <v>0.223963</v>
      </c>
      <c r="T355" s="3">
        <v>1243</v>
      </c>
      <c r="U355" s="10">
        <v>2</v>
      </c>
      <c r="V355" s="10">
        <v>47</v>
      </c>
      <c r="W355" s="5">
        <v>4.2553191489361701E-2</v>
      </c>
      <c r="X355" s="5">
        <v>0.05</v>
      </c>
      <c r="Y355" s="5">
        <v>0.85106000000000004</v>
      </c>
      <c r="Z355" s="3">
        <v>295</v>
      </c>
      <c r="AA355" s="11">
        <v>1.3333330000000001</v>
      </c>
      <c r="AB355" s="3">
        <v>550</v>
      </c>
      <c r="AC355">
        <v>10</v>
      </c>
      <c r="AD355" s="3">
        <v>1</v>
      </c>
      <c r="AE355">
        <v>0</v>
      </c>
      <c r="AF355">
        <v>10</v>
      </c>
      <c r="AG355" s="5">
        <v>0</v>
      </c>
      <c r="AH355" s="5">
        <v>0.1</v>
      </c>
      <c r="AI355" s="5">
        <v>0</v>
      </c>
      <c r="AJ355" s="3">
        <v>696</v>
      </c>
      <c r="AK355" s="5" t="s">
        <v>653</v>
      </c>
      <c r="AL355" s="5">
        <v>0.4</v>
      </c>
      <c r="AM355" s="5">
        <v>0</v>
      </c>
      <c r="AN355" s="3">
        <v>1150</v>
      </c>
      <c r="AO355">
        <v>0</v>
      </c>
      <c r="AP355">
        <v>0</v>
      </c>
      <c r="AQ355" t="s">
        <v>653</v>
      </c>
      <c r="AR355" s="5">
        <v>0.8</v>
      </c>
      <c r="AS355" s="5">
        <v>0</v>
      </c>
      <c r="AT355" s="5">
        <v>902</v>
      </c>
    </row>
    <row r="356" spans="1:46" hidden="1">
      <c r="A356" t="str">
        <f>_xlfn.XLOOKUP(Table13[[#This Row],[SAP]],'Location List'!B:B,'Location List'!G:G)</f>
        <v>DFW EAST</v>
      </c>
      <c r="B356" t="str">
        <f>LEFT(Table13[[#This Row],[Sap: Loaction]],4)</f>
        <v>2819</v>
      </c>
      <c r="C356" s="4" t="str">
        <f>_xlfn.XLOOKUP(Table13[[#This Row],[Employee]],'Location List'!M:M,'Location List'!N:N,"",0)</f>
        <v>RSM</v>
      </c>
      <c r="D356" t="s">
        <v>973</v>
      </c>
      <c r="E356" t="s">
        <v>942</v>
      </c>
      <c r="F356" t="s">
        <v>554</v>
      </c>
      <c r="G356" s="3">
        <v>5</v>
      </c>
      <c r="H356" s="3">
        <v>1252</v>
      </c>
      <c r="I356">
        <v>804.6</v>
      </c>
      <c r="J356" t="s">
        <v>454</v>
      </c>
      <c r="K356" s="6">
        <v>-8.9700000000000006</v>
      </c>
      <c r="L356" s="6">
        <v>40</v>
      </c>
      <c r="M356" s="5">
        <v>-0.22425</v>
      </c>
      <c r="N356" s="3">
        <v>1328</v>
      </c>
      <c r="O356" s="10">
        <v>1</v>
      </c>
      <c r="P356" s="10">
        <v>36</v>
      </c>
      <c r="Q356" s="5">
        <v>2.7777777777777776E-2</v>
      </c>
      <c r="R356" s="5">
        <v>0.19</v>
      </c>
      <c r="S356" s="5">
        <v>0.14619399999999999</v>
      </c>
      <c r="T356" s="3">
        <v>1291</v>
      </c>
      <c r="U356" s="10">
        <v>0</v>
      </c>
      <c r="V356" s="10">
        <v>36</v>
      </c>
      <c r="W356" s="5">
        <v>0</v>
      </c>
      <c r="X356" s="5">
        <v>0.05</v>
      </c>
      <c r="Y356" s="5">
        <v>0</v>
      </c>
      <c r="Z356" s="3">
        <v>994</v>
      </c>
      <c r="AA356" s="11">
        <v>0</v>
      </c>
      <c r="AB356" s="3">
        <v>1357</v>
      </c>
      <c r="AC356">
        <v>0</v>
      </c>
      <c r="AD356" s="3">
        <v>75</v>
      </c>
      <c r="AE356">
        <v>0</v>
      </c>
      <c r="AF356">
        <v>2</v>
      </c>
      <c r="AG356" s="5">
        <v>0</v>
      </c>
      <c r="AH356" s="5">
        <v>0.1</v>
      </c>
      <c r="AI356" s="5">
        <v>0</v>
      </c>
      <c r="AJ356" s="3">
        <v>696</v>
      </c>
      <c r="AK356" s="5">
        <v>1</v>
      </c>
      <c r="AL356" s="5">
        <v>0.4</v>
      </c>
      <c r="AM356" s="5">
        <v>2.5</v>
      </c>
      <c r="AN356" s="3">
        <v>1</v>
      </c>
      <c r="AO356">
        <v>1</v>
      </c>
      <c r="AP356">
        <v>1</v>
      </c>
      <c r="AQ356" s="5">
        <v>1</v>
      </c>
      <c r="AR356" s="5">
        <v>0.8</v>
      </c>
      <c r="AS356" s="5">
        <v>1.25</v>
      </c>
      <c r="AT356" s="5">
        <v>1</v>
      </c>
    </row>
    <row r="357" spans="1:46" hidden="1">
      <c r="A357" t="str">
        <f>_xlfn.XLOOKUP(Table13[[#This Row],[SAP]],'Location List'!B:B,'Location List'!G:G)</f>
        <v>DFW NORTH</v>
      </c>
      <c r="B357" t="str">
        <f>LEFT(Table13[[#This Row],[Sap: Loaction]],4)</f>
        <v>5761</v>
      </c>
      <c r="C357" s="4" t="str">
        <f>_xlfn.XLOOKUP(Table13[[#This Row],[Employee]],'Location List'!M:M,'Location List'!N:N,"",0)</f>
        <v>RSM</v>
      </c>
      <c r="D357" t="s">
        <v>973</v>
      </c>
      <c r="E357" t="s">
        <v>940</v>
      </c>
      <c r="F357" t="s">
        <v>553</v>
      </c>
      <c r="G357" s="3">
        <v>5</v>
      </c>
      <c r="H357" s="3">
        <v>1253</v>
      </c>
      <c r="I357">
        <v>806</v>
      </c>
      <c r="J357" t="s">
        <v>454</v>
      </c>
      <c r="K357" s="6">
        <v>-0.71</v>
      </c>
      <c r="L357" s="6">
        <v>30</v>
      </c>
      <c r="M357" s="5">
        <v>-2.3666666666666666E-2</v>
      </c>
      <c r="N357" s="3">
        <v>1248</v>
      </c>
      <c r="O357" s="10">
        <v>1</v>
      </c>
      <c r="P357" s="10">
        <v>50</v>
      </c>
      <c r="Q357" s="5">
        <v>0.02</v>
      </c>
      <c r="R357" s="5">
        <v>0.19</v>
      </c>
      <c r="S357" s="5">
        <v>0.105263</v>
      </c>
      <c r="T357" s="3">
        <v>1312</v>
      </c>
      <c r="U357" s="10">
        <v>2</v>
      </c>
      <c r="V357" s="10">
        <v>50</v>
      </c>
      <c r="W357" s="5">
        <v>0.04</v>
      </c>
      <c r="X357" s="5">
        <v>0.05</v>
      </c>
      <c r="Y357" s="5">
        <v>0.8</v>
      </c>
      <c r="Z357" s="3">
        <v>324</v>
      </c>
      <c r="AA357" s="11">
        <v>3</v>
      </c>
      <c r="AB357" s="3">
        <v>69</v>
      </c>
      <c r="AC357">
        <v>0</v>
      </c>
      <c r="AD357" s="3">
        <v>75</v>
      </c>
      <c r="AE357">
        <v>0</v>
      </c>
      <c r="AF357">
        <v>5</v>
      </c>
      <c r="AG357" s="5">
        <v>0</v>
      </c>
      <c r="AH357" s="5">
        <v>0.1</v>
      </c>
      <c r="AI357" s="5">
        <v>0</v>
      </c>
      <c r="AJ357" s="3">
        <v>696</v>
      </c>
      <c r="AK357" s="5"/>
      <c r="AL357" s="5">
        <v>0.4</v>
      </c>
      <c r="AM357" s="5">
        <v>0</v>
      </c>
      <c r="AN357" s="3">
        <v>1150</v>
      </c>
      <c r="AO357">
        <v>0</v>
      </c>
      <c r="AP357">
        <v>0</v>
      </c>
      <c r="AQ357" s="5" t="s">
        <v>653</v>
      </c>
      <c r="AR357" s="5">
        <v>0.8</v>
      </c>
      <c r="AS357" s="5">
        <v>0</v>
      </c>
      <c r="AT357" s="5">
        <v>902</v>
      </c>
    </row>
    <row r="358" spans="1:46" hidden="1">
      <c r="A358" t="str">
        <f>_xlfn.XLOOKUP(Table13[[#This Row],[SAP]],'Location List'!B:B,'Location List'!G:G)</f>
        <v>DFW EAST</v>
      </c>
      <c r="B358" t="str">
        <f>LEFT(Table13[[#This Row],[Sap: Loaction]],4)</f>
        <v>2536</v>
      </c>
      <c r="C358" s="4" t="str">
        <f>_xlfn.XLOOKUP(Table13[[#This Row],[Employee]],'Location List'!M:M,'Location List'!N:N,"",0)</f>
        <v/>
      </c>
      <c r="D358" t="s">
        <v>973</v>
      </c>
      <c r="E358" t="s">
        <v>842</v>
      </c>
      <c r="F358" t="s">
        <v>532</v>
      </c>
      <c r="G358" s="3">
        <v>5</v>
      </c>
      <c r="H358" s="3">
        <v>1256</v>
      </c>
      <c r="I358">
        <v>809.55</v>
      </c>
      <c r="J358" t="s">
        <v>454</v>
      </c>
      <c r="K358" s="6">
        <v>-12.72</v>
      </c>
      <c r="L358" s="6">
        <v>40</v>
      </c>
      <c r="M358" s="5">
        <v>-0.318</v>
      </c>
      <c r="N358" s="3">
        <v>1355</v>
      </c>
      <c r="O358" s="10">
        <v>8</v>
      </c>
      <c r="P358" s="10">
        <v>67</v>
      </c>
      <c r="Q358" s="5">
        <v>0.11940298507462686</v>
      </c>
      <c r="R358" s="5">
        <v>0.19</v>
      </c>
      <c r="S358" s="5">
        <v>0.62843099999999996</v>
      </c>
      <c r="T358" s="3">
        <v>864</v>
      </c>
      <c r="U358" s="10">
        <v>1</v>
      </c>
      <c r="V358" s="10">
        <v>67</v>
      </c>
      <c r="W358" s="5">
        <v>1.4925373134328358E-2</v>
      </c>
      <c r="X358" s="5">
        <v>0.05</v>
      </c>
      <c r="Y358" s="5">
        <v>0.29849999999999999</v>
      </c>
      <c r="Z358" s="3">
        <v>807</v>
      </c>
      <c r="AA358" s="11">
        <v>1.666666</v>
      </c>
      <c r="AB358" s="3">
        <v>357</v>
      </c>
      <c r="AC358">
        <v>0</v>
      </c>
      <c r="AD358" s="3">
        <v>75</v>
      </c>
      <c r="AE358">
        <v>0</v>
      </c>
      <c r="AF358">
        <v>12</v>
      </c>
      <c r="AG358" s="5">
        <v>0</v>
      </c>
      <c r="AH358" s="5">
        <v>0.1</v>
      </c>
      <c r="AI358" s="5">
        <v>0</v>
      </c>
      <c r="AJ358" s="3">
        <v>696</v>
      </c>
      <c r="AK358" s="5">
        <v>0</v>
      </c>
      <c r="AL358" s="5">
        <v>0.4</v>
      </c>
      <c r="AM358" s="5">
        <v>0</v>
      </c>
      <c r="AN358" s="3">
        <v>1150</v>
      </c>
      <c r="AO358">
        <v>0</v>
      </c>
      <c r="AP358">
        <v>0</v>
      </c>
      <c r="AQ358" s="5" t="s">
        <v>653</v>
      </c>
      <c r="AR358" s="5">
        <v>0.8</v>
      </c>
      <c r="AS358" s="5">
        <v>0</v>
      </c>
      <c r="AT358" s="5">
        <v>902</v>
      </c>
    </row>
    <row r="359" spans="1:46">
      <c r="A359" t="str">
        <f>_xlfn.XLOOKUP(Table13[[#This Row],[SAP]],'Location List'!B:B,'Location List'!G:G)</f>
        <v>DFW NORTH</v>
      </c>
      <c r="B359" t="str">
        <f>LEFT(Table13[[#This Row],[Sap: Loaction]],4)</f>
        <v>1CSD</v>
      </c>
      <c r="C359" s="4" t="str">
        <f>_xlfn.XLOOKUP(Table13[[#This Row],[Employee]],'Location List'!M:M,'Location List'!N:N,"",0)</f>
        <v/>
      </c>
      <c r="D359" t="s">
        <v>973</v>
      </c>
      <c r="E359" t="s">
        <v>885</v>
      </c>
      <c r="F359" t="s">
        <v>509</v>
      </c>
      <c r="G359" s="3">
        <v>5</v>
      </c>
      <c r="H359" s="3">
        <v>1268</v>
      </c>
      <c r="I359">
        <v>814.15</v>
      </c>
      <c r="J359" t="s">
        <v>454</v>
      </c>
      <c r="K359" s="6">
        <v>8.1199999999999992</v>
      </c>
      <c r="L359" s="6" t="s">
        <v>986</v>
      </c>
      <c r="M359" s="5">
        <v>0</v>
      </c>
      <c r="N359" s="3">
        <v>1207</v>
      </c>
      <c r="O359" s="10">
        <v>7</v>
      </c>
      <c r="P359" s="10">
        <v>112</v>
      </c>
      <c r="Q359" s="5">
        <v>6.25E-2</v>
      </c>
      <c r="R359" s="5">
        <v>0.19</v>
      </c>
      <c r="S359" s="5">
        <v>0.32894699999999999</v>
      </c>
      <c r="T359" s="3">
        <v>1173</v>
      </c>
      <c r="U359" s="10">
        <v>2</v>
      </c>
      <c r="V359" s="10">
        <v>112</v>
      </c>
      <c r="W359" s="5">
        <v>1.7857142857142856E-2</v>
      </c>
      <c r="X359" s="5">
        <v>0.05</v>
      </c>
      <c r="Y359" s="5">
        <v>0.35714000000000001</v>
      </c>
      <c r="Z359" s="3">
        <v>721</v>
      </c>
      <c r="AA359" s="11">
        <v>0.28571400000000002</v>
      </c>
      <c r="AB359" s="3">
        <v>1316</v>
      </c>
      <c r="AC359">
        <v>10</v>
      </c>
      <c r="AD359" s="3">
        <v>1</v>
      </c>
      <c r="AE359">
        <v>0</v>
      </c>
      <c r="AF359">
        <v>18</v>
      </c>
      <c r="AG359" s="5">
        <v>0</v>
      </c>
      <c r="AH359" s="5">
        <v>0.1</v>
      </c>
      <c r="AI359" s="5">
        <v>0</v>
      </c>
      <c r="AJ359" s="3">
        <v>696</v>
      </c>
      <c r="AK359" s="5">
        <v>1</v>
      </c>
      <c r="AL359" s="5">
        <v>0.4</v>
      </c>
      <c r="AM359" s="5">
        <v>2.5</v>
      </c>
      <c r="AN359" s="3">
        <v>1</v>
      </c>
      <c r="AO359">
        <v>0</v>
      </c>
      <c r="AP359">
        <v>1</v>
      </c>
      <c r="AQ359" s="5">
        <v>0</v>
      </c>
      <c r="AR359" s="5">
        <v>0.8</v>
      </c>
      <c r="AS359" s="5">
        <v>0</v>
      </c>
      <c r="AT359" s="5">
        <v>902</v>
      </c>
    </row>
    <row r="360" spans="1:46" hidden="1">
      <c r="A360" t="str">
        <f>_xlfn.XLOOKUP(Table13[[#This Row],[SAP]],'Location List'!B:B,'Location List'!G:G)</f>
        <v>DFW EAST</v>
      </c>
      <c r="B360" t="str">
        <f>LEFT(Table13[[#This Row],[Sap: Loaction]],4)</f>
        <v>875E</v>
      </c>
      <c r="C360" s="4" t="str">
        <f>_xlfn.XLOOKUP(Table13[[#This Row],[Employee]],'Location List'!M:M,'Location List'!N:N,"",0)</f>
        <v/>
      </c>
      <c r="D360" t="s">
        <v>973</v>
      </c>
      <c r="E360" t="s">
        <v>693</v>
      </c>
      <c r="F360" t="s">
        <v>503</v>
      </c>
      <c r="G360" s="3">
        <v>5</v>
      </c>
      <c r="H360" s="3">
        <v>1268</v>
      </c>
      <c r="I360">
        <v>814.15</v>
      </c>
      <c r="J360" t="s">
        <v>454</v>
      </c>
      <c r="K360" s="6">
        <v>-17.809999999999999</v>
      </c>
      <c r="L360" s="6">
        <v>34.999999999999993</v>
      </c>
      <c r="M360" s="5">
        <v>-0.5088571428571429</v>
      </c>
      <c r="N360" s="3">
        <v>1396</v>
      </c>
      <c r="O360" s="10">
        <v>7</v>
      </c>
      <c r="P360" s="10">
        <v>48</v>
      </c>
      <c r="Q360" s="5">
        <v>0.14583333333333334</v>
      </c>
      <c r="R360" s="5">
        <v>0.19</v>
      </c>
      <c r="S360" s="5">
        <v>0.76754199999999995</v>
      </c>
      <c r="T360" s="3">
        <v>704</v>
      </c>
      <c r="U360" s="10">
        <v>2</v>
      </c>
      <c r="V360" s="10">
        <v>48</v>
      </c>
      <c r="W360" s="5">
        <v>4.1666666666666664E-2</v>
      </c>
      <c r="X360" s="5">
        <v>0.05</v>
      </c>
      <c r="Y360" s="5">
        <v>0.83331999999999995</v>
      </c>
      <c r="Z360" s="3">
        <v>309</v>
      </c>
      <c r="AA360" s="11">
        <v>0.4</v>
      </c>
      <c r="AB360" s="3">
        <v>1247</v>
      </c>
      <c r="AC360">
        <v>7.75</v>
      </c>
      <c r="AD360" s="3">
        <v>40</v>
      </c>
      <c r="AE360">
        <v>1</v>
      </c>
      <c r="AF360">
        <v>23</v>
      </c>
      <c r="AG360" s="5">
        <v>4.3478260869565216E-2</v>
      </c>
      <c r="AH360" s="5">
        <v>0.1</v>
      </c>
      <c r="AI360" s="5">
        <v>0.43478</v>
      </c>
      <c r="AJ360" s="3">
        <v>661</v>
      </c>
      <c r="AK360" s="5">
        <v>0</v>
      </c>
      <c r="AL360" s="5">
        <v>0.4</v>
      </c>
      <c r="AM360" s="5">
        <v>0</v>
      </c>
      <c r="AN360" s="3">
        <v>1150</v>
      </c>
      <c r="AO360">
        <v>0</v>
      </c>
      <c r="AP360">
        <v>1</v>
      </c>
      <c r="AQ360" s="5">
        <v>0</v>
      </c>
      <c r="AR360" s="5">
        <v>0.8</v>
      </c>
      <c r="AS360" s="5">
        <v>0</v>
      </c>
      <c r="AT360" s="5">
        <v>902</v>
      </c>
    </row>
    <row r="361" spans="1:46">
      <c r="A361" t="str">
        <f>_xlfn.XLOOKUP(Table13[[#This Row],[SAP]],'Location List'!B:B,'Location List'!G:G)</f>
        <v>DFW EAST</v>
      </c>
      <c r="B361" t="str">
        <f>LEFT(Table13[[#This Row],[Sap: Loaction]],4)</f>
        <v>1357</v>
      </c>
      <c r="C361" s="4" t="str">
        <f>_xlfn.XLOOKUP(Table13[[#This Row],[Employee]],'Location List'!M:M,'Location List'!N:N,"",0)</f>
        <v/>
      </c>
      <c r="D361" t="s">
        <v>973</v>
      </c>
      <c r="E361" t="s">
        <v>793</v>
      </c>
      <c r="F361" t="s">
        <v>549</v>
      </c>
      <c r="G361" s="3">
        <v>5</v>
      </c>
      <c r="H361" s="3">
        <v>1279</v>
      </c>
      <c r="I361">
        <v>823.7</v>
      </c>
      <c r="J361" t="s">
        <v>454</v>
      </c>
      <c r="K361" s="6">
        <v>0.92</v>
      </c>
      <c r="L361" s="6">
        <v>40</v>
      </c>
      <c r="M361" s="5">
        <v>2.3E-2</v>
      </c>
      <c r="N361" s="3">
        <v>1188</v>
      </c>
      <c r="O361" s="10">
        <v>3</v>
      </c>
      <c r="P361" s="10">
        <v>112</v>
      </c>
      <c r="Q361" s="5">
        <v>2.6785714285714284E-2</v>
      </c>
      <c r="R361" s="5">
        <v>0.19</v>
      </c>
      <c r="S361" s="5">
        <v>0.14097299999999999</v>
      </c>
      <c r="T361" s="3">
        <v>1294</v>
      </c>
      <c r="U361" s="10">
        <v>2</v>
      </c>
      <c r="V361" s="10">
        <v>112</v>
      </c>
      <c r="W361" s="5">
        <v>1.7857142857142856E-2</v>
      </c>
      <c r="X361" s="5">
        <v>0.05</v>
      </c>
      <c r="Y361" s="5">
        <v>0.35714000000000001</v>
      </c>
      <c r="Z361" s="3">
        <v>721</v>
      </c>
      <c r="AA361" s="11">
        <v>3.6666660000000002</v>
      </c>
      <c r="AB361" s="3">
        <v>49</v>
      </c>
      <c r="AC361">
        <v>10</v>
      </c>
      <c r="AD361" s="3">
        <v>1</v>
      </c>
      <c r="AE361">
        <v>0</v>
      </c>
      <c r="AF361">
        <v>8</v>
      </c>
      <c r="AG361" s="5">
        <v>0</v>
      </c>
      <c r="AH361" s="5">
        <v>0.1</v>
      </c>
      <c r="AI361" s="5">
        <v>0</v>
      </c>
      <c r="AJ361" s="3">
        <v>696</v>
      </c>
      <c r="AK361" s="5">
        <v>0</v>
      </c>
      <c r="AL361" s="5">
        <v>0.4</v>
      </c>
      <c r="AM361" s="5">
        <v>0</v>
      </c>
      <c r="AN361" s="3">
        <v>1150</v>
      </c>
      <c r="AO361">
        <v>0</v>
      </c>
      <c r="AP361">
        <v>0</v>
      </c>
      <c r="AQ361" t="s">
        <v>653</v>
      </c>
      <c r="AR361" s="5">
        <v>0.8</v>
      </c>
      <c r="AS361" s="5">
        <v>0</v>
      </c>
      <c r="AT361" s="5">
        <v>902</v>
      </c>
    </row>
    <row r="362" spans="1:46">
      <c r="A362" t="str">
        <f>_xlfn.XLOOKUP(Table13[[#This Row],[SAP]],'Location List'!B:B,'Location List'!G:G)</f>
        <v>KS/OK</v>
      </c>
      <c r="B362" t="str">
        <f>LEFT(Table13[[#This Row],[Sap: Loaction]],4)</f>
        <v>857C</v>
      </c>
      <c r="C362" s="4" t="str">
        <f>_xlfn.XLOOKUP(Table13[[#This Row],[Employee]],'Location List'!M:M,'Location List'!N:N,"",0)</f>
        <v/>
      </c>
      <c r="D362" t="s">
        <v>973</v>
      </c>
      <c r="E362" t="s">
        <v>751</v>
      </c>
      <c r="F362" t="s">
        <v>572</v>
      </c>
      <c r="G362" s="3">
        <v>5</v>
      </c>
      <c r="H362" s="3">
        <v>1280</v>
      </c>
      <c r="I362">
        <v>824.55</v>
      </c>
      <c r="J362" t="s">
        <v>454</v>
      </c>
      <c r="K362" s="6">
        <v>-0.54</v>
      </c>
      <c r="L362" s="6">
        <v>40</v>
      </c>
      <c r="M362" s="5">
        <v>-1.35E-2</v>
      </c>
      <c r="N362" s="3">
        <v>1239</v>
      </c>
      <c r="O362" s="10">
        <v>6</v>
      </c>
      <c r="P362" s="10">
        <v>65</v>
      </c>
      <c r="Q362" s="5">
        <v>9.2307692307692313E-2</v>
      </c>
      <c r="R362" s="5">
        <v>0.19</v>
      </c>
      <c r="S362" s="5">
        <v>0.48582599999999998</v>
      </c>
      <c r="T362" s="3">
        <v>1030</v>
      </c>
      <c r="U362" s="10">
        <v>0</v>
      </c>
      <c r="V362" s="10">
        <v>65</v>
      </c>
      <c r="W362" s="5">
        <v>0</v>
      </c>
      <c r="X362" s="5">
        <v>0.05</v>
      </c>
      <c r="Y362" s="5">
        <v>0</v>
      </c>
      <c r="Z362" s="3">
        <v>994</v>
      </c>
      <c r="AA362" s="11">
        <v>0.66666599999999998</v>
      </c>
      <c r="AB362" s="3">
        <v>1060</v>
      </c>
      <c r="AC362">
        <v>10</v>
      </c>
      <c r="AD362" s="3">
        <v>1</v>
      </c>
      <c r="AE362">
        <v>0</v>
      </c>
      <c r="AF362">
        <v>16</v>
      </c>
      <c r="AG362" s="5">
        <v>0</v>
      </c>
      <c r="AH362" s="5">
        <v>0.1</v>
      </c>
      <c r="AI362" s="5">
        <v>0</v>
      </c>
      <c r="AJ362" s="3">
        <v>696</v>
      </c>
      <c r="AK362" s="5">
        <v>0.5</v>
      </c>
      <c r="AL362" s="5">
        <v>0.4</v>
      </c>
      <c r="AM362" s="5">
        <v>1.25</v>
      </c>
      <c r="AN362" s="3">
        <v>326</v>
      </c>
      <c r="AO362">
        <v>0</v>
      </c>
      <c r="AP362">
        <v>0</v>
      </c>
      <c r="AQ362" s="5" t="s">
        <v>653</v>
      </c>
      <c r="AR362" s="5">
        <v>0.8</v>
      </c>
      <c r="AS362" s="5">
        <v>0</v>
      </c>
      <c r="AT362" s="5">
        <v>902</v>
      </c>
    </row>
    <row r="363" spans="1:46" hidden="1">
      <c r="A363" t="str">
        <f>_xlfn.XLOOKUP(Table13[[#This Row],[SAP]],'Location List'!B:B,'Location List'!G:G)</f>
        <v>DFW EAST</v>
      </c>
      <c r="B363" t="str">
        <f>LEFT(Table13[[#This Row],[Sap: Loaction]],4)</f>
        <v>2536</v>
      </c>
      <c r="C363" s="4" t="str">
        <f>_xlfn.XLOOKUP(Table13[[#This Row],[Employee]],'Location List'!M:M,'Location List'!N:N,"",0)</f>
        <v>RSM</v>
      </c>
      <c r="D363" t="s">
        <v>973</v>
      </c>
      <c r="E363" t="s">
        <v>823</v>
      </c>
      <c r="F363" t="s">
        <v>532</v>
      </c>
      <c r="G363" s="3">
        <v>5</v>
      </c>
      <c r="H363" s="3">
        <v>1284</v>
      </c>
      <c r="I363">
        <v>825.65</v>
      </c>
      <c r="J363" t="s">
        <v>454</v>
      </c>
      <c r="K363" s="6">
        <v>-16.45</v>
      </c>
      <c r="L363" s="6">
        <v>40</v>
      </c>
      <c r="M363" s="5">
        <v>-0.41125</v>
      </c>
      <c r="N363" s="3">
        <v>1377</v>
      </c>
      <c r="O363" s="10">
        <v>5</v>
      </c>
      <c r="P363" s="10">
        <v>24</v>
      </c>
      <c r="Q363" s="5">
        <v>0.20833333333333334</v>
      </c>
      <c r="R363" s="5">
        <v>0.19</v>
      </c>
      <c r="S363" s="5">
        <v>1.096489</v>
      </c>
      <c r="T363" s="3">
        <v>427</v>
      </c>
      <c r="U363" s="10">
        <v>0</v>
      </c>
      <c r="V363" s="10">
        <v>24</v>
      </c>
      <c r="W363" s="5">
        <v>0</v>
      </c>
      <c r="X363" s="5">
        <v>0.05</v>
      </c>
      <c r="Y363" s="5">
        <v>0</v>
      </c>
      <c r="Z363" s="3">
        <v>994</v>
      </c>
      <c r="AA363" s="11">
        <v>0.5</v>
      </c>
      <c r="AB363" s="3">
        <v>1172</v>
      </c>
      <c r="AC363">
        <v>0</v>
      </c>
      <c r="AD363" s="3">
        <v>75</v>
      </c>
      <c r="AE363">
        <v>0</v>
      </c>
      <c r="AF363">
        <v>1</v>
      </c>
      <c r="AG363" s="5">
        <v>0</v>
      </c>
      <c r="AH363" s="5">
        <v>0.1</v>
      </c>
      <c r="AI363" s="5">
        <v>0</v>
      </c>
      <c r="AJ363" s="3">
        <v>696</v>
      </c>
      <c r="AK363" s="5">
        <v>0</v>
      </c>
      <c r="AL363" s="5">
        <v>0.4</v>
      </c>
      <c r="AM363" s="5">
        <v>0</v>
      </c>
      <c r="AN363" s="3">
        <v>1150</v>
      </c>
      <c r="AO363">
        <v>0</v>
      </c>
      <c r="AP363">
        <v>0</v>
      </c>
      <c r="AQ363" t="s">
        <v>653</v>
      </c>
      <c r="AR363" s="5">
        <v>0.8</v>
      </c>
      <c r="AS363" s="5">
        <v>0</v>
      </c>
      <c r="AT363" s="5">
        <v>902</v>
      </c>
    </row>
    <row r="364" spans="1:46" hidden="1">
      <c r="A364" t="str">
        <f>_xlfn.XLOOKUP(Table13[[#This Row],[SAP]],'Location List'!B:B,'Location List'!G:G)</f>
        <v>MO/IA/NE</v>
      </c>
      <c r="B364" t="str">
        <f>LEFT(Table13[[#This Row],[Sap: Loaction]],4)</f>
        <v>4BSR</v>
      </c>
      <c r="C364" s="4" t="str">
        <f>_xlfn.XLOOKUP(Table13[[#This Row],[Employee]],'Location List'!M:M,'Location List'!N:N,"",0)</f>
        <v/>
      </c>
      <c r="D364" t="s">
        <v>973</v>
      </c>
      <c r="E364" t="s">
        <v>799</v>
      </c>
      <c r="F364" t="s">
        <v>558</v>
      </c>
      <c r="G364" s="3">
        <v>5</v>
      </c>
      <c r="H364" s="3">
        <v>1288</v>
      </c>
      <c r="I364">
        <v>828.55</v>
      </c>
      <c r="J364" t="s">
        <v>454</v>
      </c>
      <c r="K364" s="6">
        <v>-107.36</v>
      </c>
      <c r="L364" s="6">
        <v>35</v>
      </c>
      <c r="M364" s="5">
        <v>-3.0674285714285716</v>
      </c>
      <c r="N364" s="3">
        <v>1455</v>
      </c>
      <c r="O364" s="10">
        <v>2</v>
      </c>
      <c r="P364" s="10">
        <v>32</v>
      </c>
      <c r="Q364" s="5">
        <v>6.25E-2</v>
      </c>
      <c r="R364" s="5">
        <v>0.19</v>
      </c>
      <c r="S364" s="5">
        <v>0.32894699999999999</v>
      </c>
      <c r="T364" s="3">
        <v>1173</v>
      </c>
      <c r="U364" s="10">
        <v>0</v>
      </c>
      <c r="V364" s="10">
        <v>32</v>
      </c>
      <c r="W364" s="5">
        <v>0</v>
      </c>
      <c r="X364" s="5">
        <v>0.05</v>
      </c>
      <c r="Y364" s="5">
        <v>0</v>
      </c>
      <c r="Z364" s="3">
        <v>994</v>
      </c>
      <c r="AA364" s="11">
        <v>1</v>
      </c>
      <c r="AB364" s="3">
        <v>741</v>
      </c>
      <c r="AC364">
        <v>0</v>
      </c>
      <c r="AD364" s="3">
        <v>75</v>
      </c>
      <c r="AE364">
        <v>0</v>
      </c>
      <c r="AF364">
        <v>9</v>
      </c>
      <c r="AG364" s="5">
        <v>0</v>
      </c>
      <c r="AH364" s="5">
        <v>0.1</v>
      </c>
      <c r="AI364" s="5">
        <v>0</v>
      </c>
      <c r="AJ364" s="3">
        <v>696</v>
      </c>
      <c r="AK364" s="5">
        <v>1</v>
      </c>
      <c r="AL364" s="5">
        <v>0.4</v>
      </c>
      <c r="AM364" s="5">
        <v>2.5</v>
      </c>
      <c r="AN364" s="3">
        <v>1</v>
      </c>
      <c r="AO364">
        <v>0</v>
      </c>
      <c r="AP364">
        <v>0</v>
      </c>
      <c r="AQ364" s="5" t="s">
        <v>653</v>
      </c>
      <c r="AR364" s="5">
        <v>0.8</v>
      </c>
      <c r="AS364" s="5">
        <v>0</v>
      </c>
      <c r="AT364" s="5">
        <v>902</v>
      </c>
    </row>
    <row r="365" spans="1:46" hidden="1">
      <c r="A365" t="str">
        <f>_xlfn.XLOOKUP(Table13[[#This Row],[SAP]],'Location List'!B:B,'Location List'!G:G)</f>
        <v>CENTRAL TEXAS</v>
      </c>
      <c r="B365" t="str">
        <f>LEFT(Table13[[#This Row],[Sap: Loaction]],4)</f>
        <v>1DSG</v>
      </c>
      <c r="C365" s="4" t="str">
        <f>_xlfn.XLOOKUP(Table13[[#This Row],[Employee]],'Location List'!M:M,'Location List'!N:N,"",0)</f>
        <v>RSM</v>
      </c>
      <c r="D365" t="s">
        <v>973</v>
      </c>
      <c r="E365" t="s">
        <v>731</v>
      </c>
      <c r="F365" t="s">
        <v>565</v>
      </c>
      <c r="G365" s="3">
        <v>5</v>
      </c>
      <c r="H365" s="3">
        <v>1291</v>
      </c>
      <c r="I365">
        <v>830.5</v>
      </c>
      <c r="J365" t="s">
        <v>454</v>
      </c>
      <c r="K365" s="6">
        <v>15.64</v>
      </c>
      <c r="L365" s="6">
        <v>30.000000000000004</v>
      </c>
      <c r="M365" s="5">
        <v>0.52133333333333332</v>
      </c>
      <c r="N365" s="3">
        <v>844</v>
      </c>
      <c r="O365" s="10">
        <v>0</v>
      </c>
      <c r="P365" s="10">
        <v>11</v>
      </c>
      <c r="Q365" s="5">
        <v>0</v>
      </c>
      <c r="R365" s="5">
        <v>0.19</v>
      </c>
      <c r="S365" s="5">
        <v>0</v>
      </c>
      <c r="T365" s="3">
        <v>1332</v>
      </c>
      <c r="U365" s="10">
        <v>0</v>
      </c>
      <c r="V365" s="10">
        <v>11</v>
      </c>
      <c r="W365" s="5">
        <v>0</v>
      </c>
      <c r="X365" s="5">
        <v>0.05</v>
      </c>
      <c r="Y365" s="5">
        <v>0</v>
      </c>
      <c r="Z365" s="3">
        <v>994</v>
      </c>
      <c r="AA365" s="11">
        <v>2</v>
      </c>
      <c r="AB365" s="3">
        <v>210</v>
      </c>
      <c r="AC365">
        <v>0</v>
      </c>
      <c r="AD365" s="3">
        <v>75</v>
      </c>
      <c r="AE365">
        <v>0</v>
      </c>
      <c r="AF365">
        <v>0</v>
      </c>
      <c r="AG365" s="5" t="s">
        <v>653</v>
      </c>
      <c r="AH365" s="5">
        <v>0.1</v>
      </c>
      <c r="AI365" s="5">
        <v>0</v>
      </c>
      <c r="AJ365" s="3">
        <v>696</v>
      </c>
      <c r="AK365" s="5" t="s">
        <v>653</v>
      </c>
      <c r="AL365" s="5">
        <v>0.4</v>
      </c>
      <c r="AM365" s="5">
        <v>0</v>
      </c>
      <c r="AN365" s="3">
        <v>1150</v>
      </c>
      <c r="AO365">
        <v>0</v>
      </c>
      <c r="AP365">
        <v>0</v>
      </c>
      <c r="AQ365" s="5" t="s">
        <v>653</v>
      </c>
      <c r="AR365" s="5">
        <v>0.8</v>
      </c>
      <c r="AS365" s="5">
        <v>0</v>
      </c>
      <c r="AT365" s="5">
        <v>902</v>
      </c>
    </row>
    <row r="366" spans="1:46" hidden="1">
      <c r="A366" t="str">
        <f>_xlfn.XLOOKUP(Table13[[#This Row],[SAP]],'Location List'!B:B,'Location List'!G:G)</f>
        <v>MO/IA/NE</v>
      </c>
      <c r="B366" t="str">
        <f>LEFT(Table13[[#This Row],[Sap: Loaction]],4)</f>
        <v>3ISS</v>
      </c>
      <c r="C366" s="4" t="str">
        <f>_xlfn.XLOOKUP(Table13[[#This Row],[Employee]],'Location List'!M:M,'Location List'!N:N,"",0)</f>
        <v>RSM</v>
      </c>
      <c r="D366" t="s">
        <v>973</v>
      </c>
      <c r="E366" t="s">
        <v>894</v>
      </c>
      <c r="F366" t="s">
        <v>561</v>
      </c>
      <c r="G366" s="3">
        <v>5</v>
      </c>
      <c r="H366" s="3">
        <v>1302</v>
      </c>
      <c r="I366">
        <v>842.1</v>
      </c>
      <c r="J366" t="s">
        <v>454</v>
      </c>
      <c r="K366" s="6">
        <v>16.89</v>
      </c>
      <c r="L366" s="6">
        <v>30.000000000000004</v>
      </c>
      <c r="M366" s="5">
        <v>0.56299999999999994</v>
      </c>
      <c r="N366" s="3">
        <v>806</v>
      </c>
      <c r="O366" s="10">
        <v>8</v>
      </c>
      <c r="P366" s="10">
        <v>160</v>
      </c>
      <c r="Q366" s="5">
        <v>0.05</v>
      </c>
      <c r="R366" s="5">
        <v>0.19</v>
      </c>
      <c r="S366" s="5">
        <v>0.26315699999999997</v>
      </c>
      <c r="T366" s="3">
        <v>1217</v>
      </c>
      <c r="U366" s="10">
        <v>1</v>
      </c>
      <c r="V366" s="10">
        <v>160</v>
      </c>
      <c r="W366" s="5">
        <v>6.2500000000000003E-3</v>
      </c>
      <c r="X366" s="5">
        <v>0.05</v>
      </c>
      <c r="Y366" s="5">
        <v>0.125</v>
      </c>
      <c r="Z366" s="3">
        <v>988</v>
      </c>
      <c r="AA366" s="11">
        <v>0.25</v>
      </c>
      <c r="AB366" s="3">
        <v>1320</v>
      </c>
      <c r="AC366">
        <v>10</v>
      </c>
      <c r="AD366" s="3">
        <v>1</v>
      </c>
      <c r="AE366">
        <v>2</v>
      </c>
      <c r="AF366">
        <v>36</v>
      </c>
      <c r="AG366" s="5">
        <v>5.5555555555555552E-2</v>
      </c>
      <c r="AH366" s="5">
        <v>0.1</v>
      </c>
      <c r="AI366" s="5">
        <v>0.55554999999999999</v>
      </c>
      <c r="AJ366" s="3">
        <v>624</v>
      </c>
      <c r="AK366" s="5">
        <v>0.33333333333333331</v>
      </c>
      <c r="AL366" s="5">
        <v>0.4</v>
      </c>
      <c r="AM366" s="5">
        <v>0.83333199999999996</v>
      </c>
      <c r="AN366" s="3">
        <v>631</v>
      </c>
      <c r="AO366">
        <v>0</v>
      </c>
      <c r="AP366">
        <v>0</v>
      </c>
      <c r="AQ366" t="s">
        <v>653</v>
      </c>
      <c r="AR366" s="5">
        <v>0.8</v>
      </c>
      <c r="AS366" s="5">
        <v>0</v>
      </c>
      <c r="AT366" s="5">
        <v>902</v>
      </c>
    </row>
    <row r="367" spans="1:46" hidden="1">
      <c r="A367" t="str">
        <f>_xlfn.XLOOKUP(Table13[[#This Row],[SAP]],'Location List'!B:B,'Location List'!G:G)</f>
        <v>CENTRAL TEXAS</v>
      </c>
      <c r="B367" t="str">
        <f>LEFT(Table13[[#This Row],[Sap: Loaction]],4)</f>
        <v>1FSH</v>
      </c>
      <c r="C367" s="4" t="str">
        <f>_xlfn.XLOOKUP(Table13[[#This Row],[Employee]],'Location List'!M:M,'Location List'!N:N,"",0)</f>
        <v>RSM</v>
      </c>
      <c r="D367" t="s">
        <v>973</v>
      </c>
      <c r="E367" t="s">
        <v>739</v>
      </c>
      <c r="F367" t="s">
        <v>508</v>
      </c>
      <c r="G367" s="3">
        <v>5</v>
      </c>
      <c r="H367" s="3">
        <v>1302</v>
      </c>
      <c r="I367">
        <v>842.1</v>
      </c>
      <c r="J367" t="s">
        <v>454</v>
      </c>
      <c r="K367" s="6">
        <v>-0.74</v>
      </c>
      <c r="L367" s="6">
        <v>40</v>
      </c>
      <c r="M367" s="5">
        <v>-1.8499999999999999E-2</v>
      </c>
      <c r="N367" s="3">
        <v>1244</v>
      </c>
      <c r="O367" s="10">
        <v>5</v>
      </c>
      <c r="P367" s="10">
        <v>73</v>
      </c>
      <c r="Q367" s="5">
        <v>6.8493150684931503E-2</v>
      </c>
      <c r="R367" s="5">
        <v>0.19</v>
      </c>
      <c r="S367" s="5">
        <v>0.360489</v>
      </c>
      <c r="T367" s="3">
        <v>1152</v>
      </c>
      <c r="U367" s="10">
        <v>3</v>
      </c>
      <c r="V367" s="10">
        <v>73</v>
      </c>
      <c r="W367" s="5">
        <v>4.1095890410958902E-2</v>
      </c>
      <c r="X367" s="5">
        <v>0.05</v>
      </c>
      <c r="Y367" s="5">
        <v>0.82189999999999996</v>
      </c>
      <c r="Z367" s="3">
        <v>316</v>
      </c>
      <c r="AA367" s="11">
        <v>0</v>
      </c>
      <c r="AB367" s="3">
        <v>1357</v>
      </c>
      <c r="AC367">
        <v>10</v>
      </c>
      <c r="AD367" s="3">
        <v>1</v>
      </c>
      <c r="AE367">
        <v>0</v>
      </c>
      <c r="AF367">
        <v>3</v>
      </c>
      <c r="AG367" s="5">
        <v>0</v>
      </c>
      <c r="AH367" s="5">
        <v>0.1</v>
      </c>
      <c r="AI367" s="5">
        <v>0</v>
      </c>
      <c r="AJ367" s="3">
        <v>696</v>
      </c>
      <c r="AK367" s="5">
        <v>0.33333333333333331</v>
      </c>
      <c r="AL367" s="5">
        <v>0.4</v>
      </c>
      <c r="AM367" s="5">
        <v>0.83333199999999996</v>
      </c>
      <c r="AN367" s="3">
        <v>631</v>
      </c>
      <c r="AO367">
        <v>0</v>
      </c>
      <c r="AP367">
        <v>0</v>
      </c>
      <c r="AQ367" s="5" t="s">
        <v>653</v>
      </c>
      <c r="AR367" s="5">
        <v>0.8</v>
      </c>
      <c r="AS367" s="5">
        <v>0</v>
      </c>
      <c r="AT367" s="5">
        <v>902</v>
      </c>
    </row>
    <row r="368" spans="1:46" hidden="1">
      <c r="A368" t="str">
        <f>_xlfn.XLOOKUP(Table13[[#This Row],[SAP]],'Location List'!B:B,'Location List'!G:G)</f>
        <v>DFW EAST</v>
      </c>
      <c r="B368" t="str">
        <f>LEFT(Table13[[#This Row],[Sap: Loaction]],4)</f>
        <v>1357</v>
      </c>
      <c r="C368" s="4" t="str">
        <f>_xlfn.XLOOKUP(Table13[[#This Row],[Employee]],'Location List'!M:M,'Location List'!N:N,"",0)</f>
        <v/>
      </c>
      <c r="D368" t="s">
        <v>973</v>
      </c>
      <c r="E368" t="s">
        <v>900</v>
      </c>
      <c r="F368" t="s">
        <v>549</v>
      </c>
      <c r="G368" s="3">
        <v>5</v>
      </c>
      <c r="H368" s="3">
        <v>1307</v>
      </c>
      <c r="I368">
        <v>845.5</v>
      </c>
      <c r="J368" t="s">
        <v>454</v>
      </c>
      <c r="K368" s="6">
        <v>-34.549999999999997</v>
      </c>
      <c r="L368" s="6">
        <v>39.999999999999993</v>
      </c>
      <c r="M368" s="5">
        <v>-0.86375000000000002</v>
      </c>
      <c r="N368" s="3">
        <v>1430</v>
      </c>
      <c r="O368" s="10">
        <v>10</v>
      </c>
      <c r="P368" s="10">
        <v>90</v>
      </c>
      <c r="Q368" s="5">
        <v>0.1111111111111111</v>
      </c>
      <c r="R368" s="5">
        <v>0.19</v>
      </c>
      <c r="S368" s="5">
        <v>0.58479400000000004</v>
      </c>
      <c r="T368" s="3">
        <v>910</v>
      </c>
      <c r="U368" s="10">
        <v>0</v>
      </c>
      <c r="V368" s="10">
        <v>90</v>
      </c>
      <c r="W368" s="5">
        <v>0</v>
      </c>
      <c r="X368" s="5">
        <v>0.05</v>
      </c>
      <c r="Y368" s="5">
        <v>0</v>
      </c>
      <c r="Z368" s="3">
        <v>994</v>
      </c>
      <c r="AA368" s="11">
        <v>1</v>
      </c>
      <c r="AB368" s="3">
        <v>741</v>
      </c>
      <c r="AC368">
        <v>9.6666659999999993</v>
      </c>
      <c r="AD368" s="3">
        <v>10</v>
      </c>
      <c r="AE368">
        <v>0</v>
      </c>
      <c r="AF368">
        <v>20</v>
      </c>
      <c r="AG368" s="5">
        <v>0</v>
      </c>
      <c r="AH368" s="5">
        <v>0.1</v>
      </c>
      <c r="AI368" s="5">
        <v>0</v>
      </c>
      <c r="AJ368" s="3">
        <v>696</v>
      </c>
      <c r="AK368" s="5">
        <v>0.1666665</v>
      </c>
      <c r="AL368" s="5">
        <v>0.4</v>
      </c>
      <c r="AM368" s="5">
        <v>0.41666500000000001</v>
      </c>
      <c r="AN368" s="3">
        <v>960</v>
      </c>
      <c r="AO368">
        <v>1</v>
      </c>
      <c r="AP368">
        <v>2</v>
      </c>
      <c r="AQ368">
        <v>0.5</v>
      </c>
      <c r="AR368" s="5">
        <v>0.8</v>
      </c>
      <c r="AS368" s="5">
        <v>0.625</v>
      </c>
      <c r="AT368" s="5">
        <v>741</v>
      </c>
    </row>
    <row r="369" spans="1:46" hidden="1">
      <c r="A369" t="str">
        <f>_xlfn.XLOOKUP(Table13[[#This Row],[SAP]],'Location List'!B:B,'Location List'!G:G)</f>
        <v>MO/IA/NE</v>
      </c>
      <c r="B369" t="str">
        <f>LEFT(Table13[[#This Row],[Sap: Loaction]],4)</f>
        <v>4BSI</v>
      </c>
      <c r="C369" s="4" t="str">
        <f>_xlfn.XLOOKUP(Table13[[#This Row],[Employee]],'Location List'!M:M,'Location List'!N:N,"",0)</f>
        <v>RSM</v>
      </c>
      <c r="D369" t="s">
        <v>973</v>
      </c>
      <c r="E369" t="s">
        <v>964</v>
      </c>
      <c r="F369" t="s">
        <v>581</v>
      </c>
      <c r="G369" s="3">
        <v>5</v>
      </c>
      <c r="H369" s="3">
        <v>1315</v>
      </c>
      <c r="I369">
        <v>851.95</v>
      </c>
      <c r="J369" t="s">
        <v>454</v>
      </c>
      <c r="K369" s="6">
        <v>0.24</v>
      </c>
      <c r="L369" s="6">
        <v>30</v>
      </c>
      <c r="M369" s="5">
        <v>8.0000000000000002E-3</v>
      </c>
      <c r="N369" s="3">
        <v>1203</v>
      </c>
      <c r="O369" s="10">
        <v>0</v>
      </c>
      <c r="P369" s="10">
        <v>59</v>
      </c>
      <c r="Q369" s="5">
        <v>0</v>
      </c>
      <c r="R369" s="5">
        <v>0.19</v>
      </c>
      <c r="S369" s="5">
        <v>0</v>
      </c>
      <c r="T369" s="3">
        <v>1332</v>
      </c>
      <c r="U369" s="10">
        <v>1</v>
      </c>
      <c r="V369" s="10">
        <v>59</v>
      </c>
      <c r="W369" s="5">
        <v>1.6949152542372881E-2</v>
      </c>
      <c r="X369" s="5">
        <v>0.05</v>
      </c>
      <c r="Y369" s="5">
        <v>0.33898</v>
      </c>
      <c r="Z369" s="3">
        <v>746</v>
      </c>
      <c r="AA369" s="11">
        <v>0</v>
      </c>
      <c r="AB369" s="3">
        <v>1357</v>
      </c>
      <c r="AC369">
        <v>10</v>
      </c>
      <c r="AD369" s="3">
        <v>1</v>
      </c>
      <c r="AE369">
        <v>0</v>
      </c>
      <c r="AF369">
        <v>11</v>
      </c>
      <c r="AG369" s="5">
        <v>0</v>
      </c>
      <c r="AH369" s="5">
        <v>0.1</v>
      </c>
      <c r="AI369" s="5">
        <v>0</v>
      </c>
      <c r="AJ369" s="3">
        <v>696</v>
      </c>
      <c r="AK369" s="5">
        <v>1</v>
      </c>
      <c r="AL369" s="5">
        <v>0.4</v>
      </c>
      <c r="AM369" s="5">
        <v>2.5</v>
      </c>
      <c r="AN369" s="3">
        <v>1</v>
      </c>
      <c r="AO369">
        <v>0</v>
      </c>
      <c r="AP369">
        <v>0</v>
      </c>
      <c r="AQ369" s="5" t="s">
        <v>653</v>
      </c>
      <c r="AR369" s="5">
        <v>0.8</v>
      </c>
      <c r="AS369" s="5">
        <v>0</v>
      </c>
      <c r="AT369" s="5">
        <v>902</v>
      </c>
    </row>
    <row r="370" spans="1:46" hidden="1">
      <c r="A370" t="str">
        <f>_xlfn.XLOOKUP(Table13[[#This Row],[SAP]],'Location List'!B:B,'Location List'!G:G)</f>
        <v>DFW EAST</v>
      </c>
      <c r="B370" t="str">
        <f>LEFT(Table13[[#This Row],[Sap: Loaction]],4)</f>
        <v>0115</v>
      </c>
      <c r="C370" s="4" t="str">
        <f>_xlfn.XLOOKUP(Table13[[#This Row],[Employee]],'Location List'!M:M,'Location List'!N:N,"",0)</f>
        <v/>
      </c>
      <c r="D370" t="s">
        <v>973</v>
      </c>
      <c r="E370" t="s">
        <v>783</v>
      </c>
      <c r="F370" t="s">
        <v>530</v>
      </c>
      <c r="G370" s="3">
        <v>5</v>
      </c>
      <c r="H370" s="3">
        <v>1318</v>
      </c>
      <c r="I370">
        <v>854.5</v>
      </c>
      <c r="J370" t="s">
        <v>454</v>
      </c>
      <c r="K370" s="6">
        <v>-4.91</v>
      </c>
      <c r="L370" s="6">
        <v>40</v>
      </c>
      <c r="M370" s="5">
        <v>-0.12275</v>
      </c>
      <c r="N370" s="3">
        <v>1300</v>
      </c>
      <c r="O370" s="10">
        <v>7</v>
      </c>
      <c r="P370" s="10">
        <v>88</v>
      </c>
      <c r="Q370" s="5">
        <v>7.9545454545454544E-2</v>
      </c>
      <c r="R370" s="5">
        <v>0.19</v>
      </c>
      <c r="S370" s="5">
        <v>0.418657</v>
      </c>
      <c r="T370" s="3">
        <v>1106</v>
      </c>
      <c r="U370" s="10">
        <v>0</v>
      </c>
      <c r="V370" s="10">
        <v>88</v>
      </c>
      <c r="W370" s="5">
        <v>0</v>
      </c>
      <c r="X370" s="5">
        <v>0.05</v>
      </c>
      <c r="Y370" s="5">
        <v>0</v>
      </c>
      <c r="Z370" s="3">
        <v>994</v>
      </c>
      <c r="AA370" s="11">
        <v>1.666666</v>
      </c>
      <c r="AB370" s="3">
        <v>357</v>
      </c>
      <c r="AC370">
        <v>10</v>
      </c>
      <c r="AD370" s="3">
        <v>1</v>
      </c>
      <c r="AE370">
        <v>0</v>
      </c>
      <c r="AF370">
        <v>17</v>
      </c>
      <c r="AG370" s="5">
        <v>0</v>
      </c>
      <c r="AH370" s="5">
        <v>0.1</v>
      </c>
      <c r="AI370" s="5">
        <v>0</v>
      </c>
      <c r="AJ370" s="3">
        <v>696</v>
      </c>
      <c r="AK370" s="5">
        <v>0.1</v>
      </c>
      <c r="AL370" s="5">
        <v>0.4</v>
      </c>
      <c r="AM370" s="5">
        <v>0.25</v>
      </c>
      <c r="AN370" s="3">
        <v>1085</v>
      </c>
      <c r="AQ370" s="5"/>
      <c r="AR370" s="5">
        <v>0.8</v>
      </c>
      <c r="AS370" s="5">
        <v>0</v>
      </c>
      <c r="AT370" s="5">
        <v>902</v>
      </c>
    </row>
    <row r="371" spans="1:46" hidden="1">
      <c r="A371" t="str">
        <f>_xlfn.XLOOKUP(Table13[[#This Row],[SAP]],'Location List'!B:B,'Location List'!G:G)</f>
        <v>SA/HILL COUNTRY</v>
      </c>
      <c r="B371" t="str">
        <f>LEFT(Table13[[#This Row],[Sap: Loaction]],4)</f>
        <v>583D</v>
      </c>
      <c r="C371" s="4" t="str">
        <f>_xlfn.XLOOKUP(Table13[[#This Row],[Employee]],'Location List'!M:M,'Location List'!N:N,"",0)</f>
        <v/>
      </c>
      <c r="D371" t="s">
        <v>973</v>
      </c>
      <c r="E371" t="s">
        <v>863</v>
      </c>
      <c r="F371" t="s">
        <v>538</v>
      </c>
      <c r="G371" s="3">
        <v>5</v>
      </c>
      <c r="H371" s="3">
        <v>1320</v>
      </c>
      <c r="I371">
        <v>855.4</v>
      </c>
      <c r="J371" t="s">
        <v>454</v>
      </c>
      <c r="K371" s="6">
        <v>19.91</v>
      </c>
      <c r="L371" s="6">
        <v>40</v>
      </c>
      <c r="M371" s="5">
        <v>0.49775000000000003</v>
      </c>
      <c r="N371" s="3">
        <v>858</v>
      </c>
      <c r="O371" s="10">
        <v>3</v>
      </c>
      <c r="P371" s="10">
        <v>66</v>
      </c>
      <c r="Q371" s="5">
        <v>4.5454545454545456E-2</v>
      </c>
      <c r="R371" s="5">
        <v>0.19</v>
      </c>
      <c r="S371" s="5">
        <v>0.239231</v>
      </c>
      <c r="T371" s="3">
        <v>1236</v>
      </c>
      <c r="U371" s="10">
        <v>1</v>
      </c>
      <c r="V371" s="10">
        <v>66</v>
      </c>
      <c r="W371" s="5">
        <v>1.5151515151515152E-2</v>
      </c>
      <c r="X371" s="5">
        <v>0.05</v>
      </c>
      <c r="Y371" s="5">
        <v>0.30302000000000001</v>
      </c>
      <c r="Z371" s="3">
        <v>805</v>
      </c>
      <c r="AA371" s="11">
        <v>0.875</v>
      </c>
      <c r="AB371" s="3">
        <v>893</v>
      </c>
      <c r="AC371">
        <v>10</v>
      </c>
      <c r="AD371" s="3">
        <v>1</v>
      </c>
      <c r="AE371">
        <v>0</v>
      </c>
      <c r="AF371">
        <v>14</v>
      </c>
      <c r="AG371" s="5">
        <v>0</v>
      </c>
      <c r="AH371" s="5">
        <v>0.1</v>
      </c>
      <c r="AI371" s="5">
        <v>0</v>
      </c>
      <c r="AJ371" s="3">
        <v>696</v>
      </c>
      <c r="AK371" s="5">
        <v>0</v>
      </c>
      <c r="AL371" s="5">
        <v>0.4</v>
      </c>
      <c r="AM371" s="5">
        <v>0</v>
      </c>
      <c r="AN371" s="3">
        <v>1150</v>
      </c>
      <c r="AO371">
        <v>0</v>
      </c>
      <c r="AP371">
        <v>0</v>
      </c>
      <c r="AQ371" s="5" t="s">
        <v>653</v>
      </c>
      <c r="AR371" s="5">
        <v>0.8</v>
      </c>
      <c r="AS371" s="5">
        <v>0</v>
      </c>
      <c r="AT371" s="5">
        <v>902</v>
      </c>
    </row>
    <row r="372" spans="1:46" hidden="1">
      <c r="A372" t="str">
        <f>_xlfn.XLOOKUP(Table13[[#This Row],[SAP]],'Location List'!B:B,'Location List'!G:G)</f>
        <v>MO/IA/NE</v>
      </c>
      <c r="B372" t="str">
        <f>LEFT(Table13[[#This Row],[Sap: Loaction]],4)</f>
        <v>4BSR</v>
      </c>
      <c r="C372" s="4" t="str">
        <f>_xlfn.XLOOKUP(Table13[[#This Row],[Employee]],'Location List'!M:M,'Location List'!N:N,"",0)</f>
        <v>RSM</v>
      </c>
      <c r="D372" t="s">
        <v>973</v>
      </c>
      <c r="E372" t="s">
        <v>946</v>
      </c>
      <c r="F372" t="s">
        <v>558</v>
      </c>
      <c r="G372" s="3">
        <v>5</v>
      </c>
      <c r="H372" s="3">
        <v>1327</v>
      </c>
      <c r="I372">
        <v>864.4</v>
      </c>
      <c r="J372" t="s">
        <v>454</v>
      </c>
      <c r="K372" s="6">
        <v>11.38</v>
      </c>
      <c r="L372" s="6">
        <v>35.000000000000007</v>
      </c>
      <c r="M372" s="5">
        <v>0.32514285714285712</v>
      </c>
      <c r="N372" s="3">
        <v>976</v>
      </c>
      <c r="O372" s="10">
        <v>5</v>
      </c>
      <c r="P372" s="10">
        <v>124</v>
      </c>
      <c r="Q372" s="5">
        <v>4.0322580645161289E-2</v>
      </c>
      <c r="R372" s="5">
        <v>0.19</v>
      </c>
      <c r="S372" s="5">
        <v>0.21222099999999999</v>
      </c>
      <c r="T372" s="3">
        <v>1248</v>
      </c>
      <c r="U372" s="10">
        <v>0</v>
      </c>
      <c r="V372" s="10">
        <v>124</v>
      </c>
      <c r="W372" s="5">
        <v>0</v>
      </c>
      <c r="X372" s="5">
        <v>0.05</v>
      </c>
      <c r="Y372" s="5">
        <v>0</v>
      </c>
      <c r="Z372" s="3">
        <v>994</v>
      </c>
      <c r="AA372" s="11">
        <v>1</v>
      </c>
      <c r="AB372" s="3">
        <v>741</v>
      </c>
      <c r="AC372">
        <v>9.5</v>
      </c>
      <c r="AD372" s="3">
        <v>14</v>
      </c>
      <c r="AE372">
        <v>0</v>
      </c>
      <c r="AF372">
        <v>13</v>
      </c>
      <c r="AG372" s="5">
        <v>0</v>
      </c>
      <c r="AH372" s="5">
        <v>0.1</v>
      </c>
      <c r="AI372" s="5">
        <v>0</v>
      </c>
      <c r="AJ372" s="3">
        <v>696</v>
      </c>
      <c r="AK372" s="5">
        <v>0</v>
      </c>
      <c r="AL372" s="5">
        <v>0.4</v>
      </c>
      <c r="AM372" s="5">
        <v>0</v>
      </c>
      <c r="AN372" s="3">
        <v>1150</v>
      </c>
      <c r="AO372">
        <v>1</v>
      </c>
      <c r="AP372">
        <v>2</v>
      </c>
      <c r="AQ372" s="5">
        <v>0.5</v>
      </c>
      <c r="AR372" s="5">
        <v>0.8</v>
      </c>
      <c r="AS372" s="5">
        <v>0.625</v>
      </c>
      <c r="AT372" s="5">
        <v>741</v>
      </c>
    </row>
    <row r="373" spans="1:46">
      <c r="A373" t="str">
        <f>_xlfn.XLOOKUP(Table13[[#This Row],[SAP]],'Location List'!B:B,'Location List'!G:G)</f>
        <v>SOUTH TX/RGV</v>
      </c>
      <c r="B373" t="str">
        <f>LEFT(Table13[[#This Row],[Sap: Loaction]],4)</f>
        <v>1953</v>
      </c>
      <c r="C373" s="4" t="str">
        <f>_xlfn.XLOOKUP(Table13[[#This Row],[Employee]],'Location List'!M:M,'Location List'!N:N,"",0)</f>
        <v/>
      </c>
      <c r="D373" t="s">
        <v>973</v>
      </c>
      <c r="E373" t="s">
        <v>707</v>
      </c>
      <c r="F373" t="s">
        <v>564</v>
      </c>
      <c r="G373" s="3">
        <v>5</v>
      </c>
      <c r="H373" s="3">
        <v>1333</v>
      </c>
      <c r="I373">
        <v>868.85</v>
      </c>
      <c r="J373" t="s">
        <v>454</v>
      </c>
      <c r="K373" s="6">
        <v>10.06</v>
      </c>
      <c r="L373" s="6">
        <v>35</v>
      </c>
      <c r="M373" s="5">
        <v>0.28742857142857142</v>
      </c>
      <c r="N373" s="3">
        <v>1009</v>
      </c>
      <c r="O373" s="10">
        <v>9</v>
      </c>
      <c r="P373" s="10">
        <v>106</v>
      </c>
      <c r="Q373" s="5">
        <v>8.4905660377358486E-2</v>
      </c>
      <c r="R373" s="5">
        <v>0.19</v>
      </c>
      <c r="S373" s="5">
        <v>0.44686799999999999</v>
      </c>
      <c r="T373" s="3">
        <v>1078</v>
      </c>
      <c r="U373" s="10">
        <v>1</v>
      </c>
      <c r="V373" s="10">
        <v>106</v>
      </c>
      <c r="W373" s="5">
        <v>9.433962264150943E-3</v>
      </c>
      <c r="X373" s="5">
        <v>0.05</v>
      </c>
      <c r="Y373" s="5">
        <v>0.18865999999999999</v>
      </c>
      <c r="Z373" s="3">
        <v>943</v>
      </c>
      <c r="AA373" s="11">
        <v>0.85714199999999996</v>
      </c>
      <c r="AB373" s="3">
        <v>905</v>
      </c>
      <c r="AC373">
        <v>0</v>
      </c>
      <c r="AD373" s="3">
        <v>75</v>
      </c>
      <c r="AE373">
        <v>0</v>
      </c>
      <c r="AF373">
        <v>29</v>
      </c>
      <c r="AG373" s="5">
        <v>0</v>
      </c>
      <c r="AH373" s="5">
        <v>0.1</v>
      </c>
      <c r="AI373" s="5">
        <v>0</v>
      </c>
      <c r="AJ373" s="3">
        <v>696</v>
      </c>
      <c r="AK373" s="5">
        <v>0</v>
      </c>
      <c r="AL373" s="5">
        <v>0.4</v>
      </c>
      <c r="AM373" s="5">
        <v>0</v>
      </c>
      <c r="AN373" s="3">
        <v>1150</v>
      </c>
      <c r="AO373">
        <v>0</v>
      </c>
      <c r="AP373">
        <v>2</v>
      </c>
      <c r="AQ373">
        <v>0</v>
      </c>
      <c r="AR373" s="5">
        <v>0.8</v>
      </c>
      <c r="AS373" s="5">
        <v>0</v>
      </c>
      <c r="AT373" s="5">
        <v>902</v>
      </c>
    </row>
    <row r="374" spans="1:46" hidden="1">
      <c r="A374" t="str">
        <f>_xlfn.XLOOKUP(Table13[[#This Row],[SAP]],'Location List'!B:B,'Location List'!G:G)</f>
        <v>SOUTH TX/RGV</v>
      </c>
      <c r="B374" t="str">
        <f>LEFT(Table13[[#This Row],[Sap: Loaction]],4)</f>
        <v>374E</v>
      </c>
      <c r="C374" s="4" t="str">
        <f>_xlfn.XLOOKUP(Table13[[#This Row],[Employee]],'Location List'!M:M,'Location List'!N:N,"",0)</f>
        <v>RSM</v>
      </c>
      <c r="D374" t="s">
        <v>973</v>
      </c>
      <c r="E374" t="s">
        <v>948</v>
      </c>
      <c r="F374" t="s">
        <v>502</v>
      </c>
      <c r="G374" s="3">
        <v>5</v>
      </c>
      <c r="H374" s="3">
        <v>1336</v>
      </c>
      <c r="I374">
        <v>871.6</v>
      </c>
      <c r="J374" t="s">
        <v>454</v>
      </c>
      <c r="K374" s="6">
        <v>-22.02</v>
      </c>
      <c r="L374" s="6">
        <v>30</v>
      </c>
      <c r="M374" s="5">
        <v>-0.73399999999999999</v>
      </c>
      <c r="N374" s="3">
        <v>1419</v>
      </c>
      <c r="O374" s="10">
        <v>0</v>
      </c>
      <c r="P374" s="10">
        <v>34</v>
      </c>
      <c r="Q374" s="5">
        <v>0</v>
      </c>
      <c r="R374" s="5">
        <v>0.19</v>
      </c>
      <c r="S374" s="5">
        <v>0</v>
      </c>
      <c r="T374" s="3">
        <v>1332</v>
      </c>
      <c r="U374" s="10">
        <v>0</v>
      </c>
      <c r="V374" s="10">
        <v>34</v>
      </c>
      <c r="W374" s="5">
        <v>0</v>
      </c>
      <c r="X374" s="5">
        <v>0.05</v>
      </c>
      <c r="Y374" s="5">
        <v>0</v>
      </c>
      <c r="Z374" s="3">
        <v>994</v>
      </c>
      <c r="AA374" s="11">
        <v>1</v>
      </c>
      <c r="AB374" s="3">
        <v>741</v>
      </c>
      <c r="AC374">
        <v>0</v>
      </c>
      <c r="AD374" s="3">
        <v>75</v>
      </c>
      <c r="AE374">
        <v>1</v>
      </c>
      <c r="AF374">
        <v>2</v>
      </c>
      <c r="AG374" s="5">
        <v>0.5</v>
      </c>
      <c r="AH374" s="5">
        <v>0.1</v>
      </c>
      <c r="AI374" s="5">
        <v>5</v>
      </c>
      <c r="AJ374" s="3">
        <v>41</v>
      </c>
      <c r="AK374" s="5" t="s">
        <v>653</v>
      </c>
      <c r="AL374" s="5">
        <v>0.4</v>
      </c>
      <c r="AM374" s="5">
        <v>0</v>
      </c>
      <c r="AN374" s="3">
        <v>1150</v>
      </c>
      <c r="AO374">
        <v>0</v>
      </c>
      <c r="AP374">
        <v>0</v>
      </c>
      <c r="AQ374" s="5" t="s">
        <v>653</v>
      </c>
      <c r="AR374" s="5">
        <v>0.8</v>
      </c>
      <c r="AS374" s="5">
        <v>0</v>
      </c>
      <c r="AT374" s="5">
        <v>902</v>
      </c>
    </row>
    <row r="375" spans="1:46" hidden="1">
      <c r="A375" t="str">
        <f>_xlfn.XLOOKUP(Table13[[#This Row],[SAP]],'Location List'!B:B,'Location List'!G:G)</f>
        <v>MO/IA/NE</v>
      </c>
      <c r="B375" t="str">
        <f>LEFT(Table13[[#This Row],[Sap: Loaction]],4)</f>
        <v>4BSH</v>
      </c>
      <c r="C375" s="4" t="str">
        <f>_xlfn.XLOOKUP(Table13[[#This Row],[Employee]],'Location List'!M:M,'Location List'!N:N,"",0)</f>
        <v/>
      </c>
      <c r="D375" t="s">
        <v>973</v>
      </c>
      <c r="E375" t="s">
        <v>830</v>
      </c>
      <c r="F375" t="s">
        <v>578</v>
      </c>
      <c r="G375" s="3">
        <v>5</v>
      </c>
      <c r="H375" s="3">
        <v>1347</v>
      </c>
      <c r="I375">
        <v>885.85</v>
      </c>
      <c r="J375" t="s">
        <v>454</v>
      </c>
      <c r="K375" s="6">
        <v>-0.64</v>
      </c>
      <c r="L375" s="6">
        <v>35</v>
      </c>
      <c r="M375" s="5">
        <v>-1.8285714285714287E-2</v>
      </c>
      <c r="N375" s="3">
        <v>1243</v>
      </c>
      <c r="O375" s="10">
        <v>2</v>
      </c>
      <c r="P375" s="10">
        <v>56</v>
      </c>
      <c r="Q375" s="5">
        <v>3.5714285714285712E-2</v>
      </c>
      <c r="R375" s="5">
        <v>0.19</v>
      </c>
      <c r="S375" s="5">
        <v>0.187968</v>
      </c>
      <c r="T375" s="3">
        <v>1271</v>
      </c>
      <c r="U375" s="10">
        <v>3</v>
      </c>
      <c r="V375" s="10">
        <v>56</v>
      </c>
      <c r="W375" s="5">
        <v>5.3571428571428568E-2</v>
      </c>
      <c r="X375" s="5">
        <v>0.05</v>
      </c>
      <c r="Y375" s="5">
        <v>1.07142</v>
      </c>
      <c r="Z375" s="3">
        <v>183</v>
      </c>
      <c r="AA375" s="11">
        <v>0.25</v>
      </c>
      <c r="AB375" s="3">
        <v>1320</v>
      </c>
      <c r="AC375">
        <v>8</v>
      </c>
      <c r="AD375" s="3">
        <v>36</v>
      </c>
      <c r="AE375">
        <v>1</v>
      </c>
      <c r="AF375">
        <v>14</v>
      </c>
      <c r="AG375" s="5">
        <v>7.1428571428571425E-2</v>
      </c>
      <c r="AH375" s="5">
        <v>0.1</v>
      </c>
      <c r="AI375" s="5">
        <v>0.71428000000000003</v>
      </c>
      <c r="AJ375" s="3">
        <v>574</v>
      </c>
      <c r="AK375" s="5">
        <v>0</v>
      </c>
      <c r="AL375" s="5">
        <v>0.4</v>
      </c>
      <c r="AM375" s="5">
        <v>0</v>
      </c>
      <c r="AN375" s="3">
        <v>1150</v>
      </c>
      <c r="AO375">
        <v>0</v>
      </c>
      <c r="AP375">
        <v>0</v>
      </c>
      <c r="AQ375" s="5" t="s">
        <v>653</v>
      </c>
      <c r="AR375" s="5">
        <v>0.8</v>
      </c>
      <c r="AS375" s="5">
        <v>0</v>
      </c>
      <c r="AT375" s="5">
        <v>902</v>
      </c>
    </row>
    <row r="376" spans="1:46" hidden="1">
      <c r="A376" t="str">
        <f>_xlfn.XLOOKUP(Table13[[#This Row],[SAP]],'Location List'!B:B,'Location List'!G:G)</f>
        <v>DFW EAST</v>
      </c>
      <c r="B376" t="str">
        <f>LEFT(Table13[[#This Row],[Sap: Loaction]],4)</f>
        <v>0115</v>
      </c>
      <c r="C376" s="4" t="str">
        <f>_xlfn.XLOOKUP(Table13[[#This Row],[Employee]],'Location List'!M:M,'Location List'!N:N,"",0)</f>
        <v>RSM</v>
      </c>
      <c r="D376" t="s">
        <v>973</v>
      </c>
      <c r="E376" t="s">
        <v>944</v>
      </c>
      <c r="F376" t="s">
        <v>530</v>
      </c>
      <c r="G376" s="3">
        <v>5</v>
      </c>
      <c r="H376" s="3">
        <v>1350</v>
      </c>
      <c r="I376">
        <v>890</v>
      </c>
      <c r="J376" t="s">
        <v>454</v>
      </c>
      <c r="K376" s="6">
        <v>2.74</v>
      </c>
      <c r="L376" s="6">
        <v>40</v>
      </c>
      <c r="M376" s="5">
        <v>6.8500000000000005E-2</v>
      </c>
      <c r="N376" s="3">
        <v>1154</v>
      </c>
      <c r="O376" s="10">
        <v>1</v>
      </c>
      <c r="P376" s="10">
        <v>49</v>
      </c>
      <c r="Q376" s="5">
        <v>2.0408163265306121E-2</v>
      </c>
      <c r="R376" s="5">
        <v>0.19</v>
      </c>
      <c r="S376" s="5">
        <v>0.10741000000000001</v>
      </c>
      <c r="T376" s="3">
        <v>1311</v>
      </c>
      <c r="U376" s="10">
        <v>0</v>
      </c>
      <c r="V376" s="10">
        <v>49</v>
      </c>
      <c r="W376" s="5">
        <v>0</v>
      </c>
      <c r="X376" s="5">
        <v>0.05</v>
      </c>
      <c r="Y376" s="5">
        <v>0</v>
      </c>
      <c r="Z376" s="3">
        <v>994</v>
      </c>
      <c r="AA376" s="11">
        <v>0</v>
      </c>
      <c r="AB376" s="3">
        <v>1357</v>
      </c>
      <c r="AC376">
        <v>10</v>
      </c>
      <c r="AD376" s="3">
        <v>1</v>
      </c>
      <c r="AE376">
        <v>0</v>
      </c>
      <c r="AF376">
        <v>9</v>
      </c>
      <c r="AG376" s="5">
        <v>0</v>
      </c>
      <c r="AH376" s="5">
        <v>0.1</v>
      </c>
      <c r="AI376" s="5">
        <v>0</v>
      </c>
      <c r="AJ376" s="3">
        <v>696</v>
      </c>
      <c r="AK376" s="5">
        <v>0</v>
      </c>
      <c r="AL376" s="5">
        <v>0.4</v>
      </c>
      <c r="AM376" s="5">
        <v>0</v>
      </c>
      <c r="AN376" s="3">
        <v>1150</v>
      </c>
      <c r="AO376">
        <v>1</v>
      </c>
      <c r="AP376">
        <v>1</v>
      </c>
      <c r="AQ376" s="5">
        <v>1</v>
      </c>
      <c r="AR376" s="5">
        <v>0.8</v>
      </c>
      <c r="AS376" s="5">
        <v>1.25</v>
      </c>
      <c r="AT376" s="5">
        <v>1</v>
      </c>
    </row>
    <row r="377" spans="1:46" hidden="1">
      <c r="A377" t="str">
        <f>_xlfn.XLOOKUP(Table13[[#This Row],[SAP]],'Location List'!B:B,'Location List'!G:G)</f>
        <v>DFW NORTH</v>
      </c>
      <c r="B377" t="str">
        <f>LEFT(Table13[[#This Row],[Sap: Loaction]],4)</f>
        <v>1239</v>
      </c>
      <c r="C377" s="4" t="str">
        <f>_xlfn.XLOOKUP(Table13[[#This Row],[Employee]],'Location List'!M:M,'Location List'!N:N,"",0)</f>
        <v>RSM</v>
      </c>
      <c r="D377" t="s">
        <v>973</v>
      </c>
      <c r="E377" t="s">
        <v>966</v>
      </c>
      <c r="F377" t="s">
        <v>582</v>
      </c>
      <c r="G377" s="3">
        <v>5</v>
      </c>
      <c r="H377" s="3">
        <v>1351</v>
      </c>
      <c r="I377">
        <v>890.15</v>
      </c>
      <c r="J377" t="s">
        <v>454</v>
      </c>
      <c r="K377" s="6">
        <v>2.93</v>
      </c>
      <c r="L377" s="6">
        <v>35</v>
      </c>
      <c r="M377" s="5">
        <v>8.3714285714285713E-2</v>
      </c>
      <c r="N377" s="3">
        <v>1143</v>
      </c>
      <c r="O377" s="10">
        <v>0</v>
      </c>
      <c r="P377" s="10">
        <v>94</v>
      </c>
      <c r="Q377" s="5">
        <v>0</v>
      </c>
      <c r="R377" s="5">
        <v>0.19</v>
      </c>
      <c r="S377" s="5">
        <v>0</v>
      </c>
      <c r="T377" s="3">
        <v>1332</v>
      </c>
      <c r="U377" s="10">
        <v>0</v>
      </c>
      <c r="V377" s="10">
        <v>94</v>
      </c>
      <c r="W377" s="5">
        <v>0</v>
      </c>
      <c r="X377" s="5">
        <v>0.05</v>
      </c>
      <c r="Y377" s="5">
        <v>0</v>
      </c>
      <c r="Z377" s="3">
        <v>994</v>
      </c>
      <c r="AA377" s="11">
        <v>1.5</v>
      </c>
      <c r="AB377" s="3">
        <v>432</v>
      </c>
      <c r="AC377">
        <v>10</v>
      </c>
      <c r="AD377" s="3">
        <v>1</v>
      </c>
      <c r="AE377">
        <v>0</v>
      </c>
      <c r="AF377">
        <v>10</v>
      </c>
      <c r="AG377" s="5">
        <v>0</v>
      </c>
      <c r="AH377" s="5">
        <v>0.1</v>
      </c>
      <c r="AI377" s="5">
        <v>0</v>
      </c>
      <c r="AJ377" s="3">
        <v>696</v>
      </c>
      <c r="AK377" s="5" t="s">
        <v>653</v>
      </c>
      <c r="AL377" s="5">
        <v>0.4</v>
      </c>
      <c r="AM377" s="5">
        <v>0</v>
      </c>
      <c r="AN377" s="3">
        <v>1150</v>
      </c>
      <c r="AO377">
        <v>0</v>
      </c>
      <c r="AP377">
        <v>0</v>
      </c>
      <c r="AQ377" s="5" t="s">
        <v>653</v>
      </c>
      <c r="AR377" s="5">
        <v>0.8</v>
      </c>
      <c r="AS377" s="5">
        <v>0</v>
      </c>
      <c r="AT377" s="5">
        <v>902</v>
      </c>
    </row>
    <row r="378" spans="1:46" hidden="1">
      <c r="A378" t="str">
        <f>_xlfn.XLOOKUP(Table13[[#This Row],[SAP]],'Location List'!B:B,'Location List'!G:G)</f>
        <v>DFW EAST</v>
      </c>
      <c r="B378" t="str">
        <f>LEFT(Table13[[#This Row],[Sap: Loaction]],4)</f>
        <v>0118</v>
      </c>
      <c r="C378" s="4" t="str">
        <f>_xlfn.XLOOKUP(Table13[[#This Row],[Employee]],'Location List'!M:M,'Location List'!N:N,"",0)</f>
        <v/>
      </c>
      <c r="D378" t="s">
        <v>973</v>
      </c>
      <c r="E378" t="s">
        <v>803</v>
      </c>
      <c r="F378" t="s">
        <v>531</v>
      </c>
      <c r="G378" s="3">
        <v>5</v>
      </c>
      <c r="H378" s="3">
        <v>1352</v>
      </c>
      <c r="I378">
        <v>890.7</v>
      </c>
      <c r="J378" t="s">
        <v>454</v>
      </c>
      <c r="K378" s="6">
        <v>-44.15</v>
      </c>
      <c r="L378" s="6">
        <v>40</v>
      </c>
      <c r="M378" s="5">
        <v>-1.10375</v>
      </c>
      <c r="N378" s="3">
        <v>1438</v>
      </c>
      <c r="O378" s="10">
        <v>1</v>
      </c>
      <c r="P378" s="10">
        <v>66</v>
      </c>
      <c r="Q378" s="5">
        <v>1.5151515151515152E-2</v>
      </c>
      <c r="R378" s="5">
        <v>0.19</v>
      </c>
      <c r="S378" s="5">
        <v>7.9741999999999993E-2</v>
      </c>
      <c r="T378" s="3">
        <v>1319</v>
      </c>
      <c r="U378" s="10">
        <v>1</v>
      </c>
      <c r="V378" s="10">
        <v>66</v>
      </c>
      <c r="W378" s="5">
        <v>1.5151515151515152E-2</v>
      </c>
      <c r="X378" s="5">
        <v>0.05</v>
      </c>
      <c r="Y378" s="5">
        <v>0.30302000000000001</v>
      </c>
      <c r="Z378" s="3">
        <v>805</v>
      </c>
      <c r="AA378" s="11">
        <v>2</v>
      </c>
      <c r="AB378" s="3">
        <v>210</v>
      </c>
      <c r="AC378">
        <v>10</v>
      </c>
      <c r="AD378" s="3">
        <v>1</v>
      </c>
      <c r="AE378">
        <v>0</v>
      </c>
      <c r="AF378">
        <v>18</v>
      </c>
      <c r="AG378" s="5">
        <v>0</v>
      </c>
      <c r="AH378" s="5">
        <v>0.1</v>
      </c>
      <c r="AI378" s="5">
        <v>0</v>
      </c>
      <c r="AJ378" s="3">
        <v>696</v>
      </c>
      <c r="AK378" s="5" t="s">
        <v>653</v>
      </c>
      <c r="AL378" s="5">
        <v>0.4</v>
      </c>
      <c r="AM378" s="5">
        <v>0</v>
      </c>
      <c r="AN378" s="3">
        <v>1150</v>
      </c>
      <c r="AQ378" s="5"/>
      <c r="AR378" s="5">
        <v>0.8</v>
      </c>
      <c r="AS378" s="5">
        <v>0</v>
      </c>
      <c r="AT378" s="5">
        <v>902</v>
      </c>
    </row>
    <row r="379" spans="1:46" hidden="1">
      <c r="A379" t="str">
        <f>_xlfn.XLOOKUP(Table13[[#This Row],[SAP]],'Location List'!B:B,'Location List'!G:G)</f>
        <v>MO/IA/NE</v>
      </c>
      <c r="B379" t="str">
        <f>LEFT(Table13[[#This Row],[Sap: Loaction]],4)</f>
        <v>3ISY</v>
      </c>
      <c r="C379" s="4" t="str">
        <f>_xlfn.XLOOKUP(Table13[[#This Row],[Employee]],'Location List'!M:M,'Location List'!N:N,"",0)</f>
        <v>RSM</v>
      </c>
      <c r="D379" t="s">
        <v>973</v>
      </c>
      <c r="E379" t="s">
        <v>938</v>
      </c>
      <c r="F379" t="s">
        <v>527</v>
      </c>
      <c r="G379" s="3">
        <v>5</v>
      </c>
      <c r="H379" s="3">
        <v>1354</v>
      </c>
      <c r="I379">
        <v>894.05</v>
      </c>
      <c r="J379" t="s">
        <v>454</v>
      </c>
      <c r="K379" s="6">
        <v>13.79</v>
      </c>
      <c r="L379" s="6">
        <v>40</v>
      </c>
      <c r="M379" s="5">
        <v>0.34475</v>
      </c>
      <c r="N379" s="3">
        <v>963</v>
      </c>
      <c r="O379" s="10">
        <v>0</v>
      </c>
      <c r="P379" s="10">
        <v>79</v>
      </c>
      <c r="Q379" s="5">
        <v>0</v>
      </c>
      <c r="R379" s="5">
        <v>0.19</v>
      </c>
      <c r="S379" s="5">
        <v>0</v>
      </c>
      <c r="T379" s="3">
        <v>1332</v>
      </c>
      <c r="U379" s="10">
        <v>0</v>
      </c>
      <c r="V379" s="10">
        <v>79</v>
      </c>
      <c r="W379" s="5">
        <v>0</v>
      </c>
      <c r="X379" s="5">
        <v>0.05</v>
      </c>
      <c r="Y379" s="5">
        <v>0</v>
      </c>
      <c r="Z379" s="3">
        <v>994</v>
      </c>
      <c r="AA379" s="11">
        <v>1</v>
      </c>
      <c r="AB379" s="3">
        <v>741</v>
      </c>
      <c r="AC379">
        <v>10</v>
      </c>
      <c r="AD379" s="3">
        <v>1</v>
      </c>
      <c r="AE379">
        <v>0</v>
      </c>
      <c r="AF379">
        <v>21</v>
      </c>
      <c r="AG379" s="5">
        <v>0</v>
      </c>
      <c r="AH379" s="5">
        <v>0.1</v>
      </c>
      <c r="AI379" s="5">
        <v>0</v>
      </c>
      <c r="AJ379" s="3">
        <v>696</v>
      </c>
      <c r="AK379" s="5">
        <v>0</v>
      </c>
      <c r="AL379" s="5">
        <v>0.4</v>
      </c>
      <c r="AM379" s="5">
        <v>0</v>
      </c>
      <c r="AN379" s="3">
        <v>1150</v>
      </c>
      <c r="AO379">
        <v>0</v>
      </c>
      <c r="AP379">
        <v>0</v>
      </c>
      <c r="AQ379" t="s">
        <v>653</v>
      </c>
      <c r="AR379" s="5">
        <v>0.8</v>
      </c>
      <c r="AS379" s="5">
        <v>0</v>
      </c>
      <c r="AT379" s="5">
        <v>902</v>
      </c>
    </row>
    <row r="380" spans="1:46" hidden="1">
      <c r="A380" t="str">
        <f>_xlfn.XLOOKUP(Table13[[#This Row],[SAP]],'Location List'!B:B,'Location List'!G:G)</f>
        <v>SA SOUTH</v>
      </c>
      <c r="B380" t="str">
        <f>LEFT(Table13[[#This Row],[Sap: Loaction]],4)</f>
        <v>2074</v>
      </c>
      <c r="C380" s="4" t="str">
        <f>_xlfn.XLOOKUP(Table13[[#This Row],[Employee]],'Location List'!M:M,'Location List'!N:N,"",0)</f>
        <v/>
      </c>
      <c r="D380" t="s">
        <v>973</v>
      </c>
      <c r="E380" t="s">
        <v>789</v>
      </c>
      <c r="F380" t="s">
        <v>512</v>
      </c>
      <c r="G380" s="3">
        <v>5</v>
      </c>
      <c r="H380" s="3">
        <v>1355</v>
      </c>
      <c r="I380">
        <v>895.6</v>
      </c>
      <c r="J380" t="s">
        <v>454</v>
      </c>
      <c r="K380" s="6">
        <v>-23.68</v>
      </c>
      <c r="L380" s="6">
        <v>40</v>
      </c>
      <c r="M380" s="5">
        <v>-0.59199999999999997</v>
      </c>
      <c r="N380" s="3">
        <v>1404</v>
      </c>
      <c r="O380" s="10">
        <v>2</v>
      </c>
      <c r="P380" s="10">
        <v>95</v>
      </c>
      <c r="Q380" s="5">
        <v>2.1052631578947368E-2</v>
      </c>
      <c r="R380" s="5">
        <v>0.19</v>
      </c>
      <c r="S380" s="5">
        <v>0.1108</v>
      </c>
      <c r="T380" s="3">
        <v>1308</v>
      </c>
      <c r="U380" s="10">
        <v>0</v>
      </c>
      <c r="V380" s="10">
        <v>95</v>
      </c>
      <c r="W380" s="5">
        <v>0</v>
      </c>
      <c r="X380" s="5">
        <v>0.05</v>
      </c>
      <c r="Y380" s="5">
        <v>0</v>
      </c>
      <c r="Z380" s="3">
        <v>994</v>
      </c>
      <c r="AA380" s="11">
        <v>3</v>
      </c>
      <c r="AB380" s="3">
        <v>69</v>
      </c>
      <c r="AC380">
        <v>0</v>
      </c>
      <c r="AD380" s="3">
        <v>75</v>
      </c>
      <c r="AE380">
        <v>0</v>
      </c>
      <c r="AF380">
        <v>1</v>
      </c>
      <c r="AG380" s="5">
        <v>0</v>
      </c>
      <c r="AH380" s="5">
        <v>0.1</v>
      </c>
      <c r="AI380" s="5">
        <v>0</v>
      </c>
      <c r="AJ380" s="3">
        <v>696</v>
      </c>
      <c r="AK380" s="5" t="s">
        <v>653</v>
      </c>
      <c r="AL380" s="5">
        <v>0.4</v>
      </c>
      <c r="AM380" s="5">
        <v>0</v>
      </c>
      <c r="AN380" s="3">
        <v>1150</v>
      </c>
      <c r="AO380">
        <v>0</v>
      </c>
      <c r="AP380">
        <v>0</v>
      </c>
      <c r="AQ380" t="s">
        <v>653</v>
      </c>
      <c r="AR380" s="5">
        <v>0.8</v>
      </c>
      <c r="AS380" s="5">
        <v>0</v>
      </c>
      <c r="AT380" s="5">
        <v>902</v>
      </c>
    </row>
    <row r="381" spans="1:46" hidden="1">
      <c r="A381" t="str">
        <f>_xlfn.XLOOKUP(Table13[[#This Row],[SAP]],'Location List'!B:B,'Location List'!G:G)</f>
        <v>MO/IA/NE</v>
      </c>
      <c r="B381" t="str">
        <f>LEFT(Table13[[#This Row],[Sap: Loaction]],4)</f>
        <v>4ASN</v>
      </c>
      <c r="C381" s="4" t="str">
        <f>_xlfn.XLOOKUP(Table13[[#This Row],[Employee]],'Location List'!M:M,'Location List'!N:N,"",0)</f>
        <v/>
      </c>
      <c r="D381" t="s">
        <v>973</v>
      </c>
      <c r="E381" t="s">
        <v>861</v>
      </c>
      <c r="F381" t="s">
        <v>544</v>
      </c>
      <c r="G381" s="3">
        <v>5</v>
      </c>
      <c r="H381" s="3">
        <v>1357</v>
      </c>
      <c r="I381">
        <v>900</v>
      </c>
      <c r="J381" t="s">
        <v>454</v>
      </c>
      <c r="K381" s="6">
        <v>1.33</v>
      </c>
      <c r="L381" s="6">
        <v>40</v>
      </c>
      <c r="M381" s="5">
        <v>3.3250000000000002E-2</v>
      </c>
      <c r="N381" s="3">
        <v>1178</v>
      </c>
      <c r="O381" s="10">
        <v>5</v>
      </c>
      <c r="P381" s="10">
        <v>111</v>
      </c>
      <c r="Q381" s="5">
        <v>4.5045045045045043E-2</v>
      </c>
      <c r="R381" s="5">
        <v>0.19</v>
      </c>
      <c r="S381" s="5">
        <v>0.23707800000000001</v>
      </c>
      <c r="T381" s="3">
        <v>1239</v>
      </c>
      <c r="U381" s="10">
        <v>4</v>
      </c>
      <c r="V381" s="10">
        <v>111</v>
      </c>
      <c r="W381" s="5">
        <v>3.6036036036036036E-2</v>
      </c>
      <c r="X381" s="5">
        <v>0.05</v>
      </c>
      <c r="Y381" s="5">
        <v>0.72072000000000003</v>
      </c>
      <c r="Z381" s="3">
        <v>375</v>
      </c>
      <c r="AA381" s="11">
        <v>0.33333299999999999</v>
      </c>
      <c r="AB381" s="3">
        <v>1283</v>
      </c>
      <c r="AC381">
        <v>10</v>
      </c>
      <c r="AD381" s="3">
        <v>1</v>
      </c>
      <c r="AE381">
        <v>0</v>
      </c>
      <c r="AF381">
        <v>9</v>
      </c>
      <c r="AG381" s="5">
        <v>0</v>
      </c>
      <c r="AH381" s="5">
        <v>0.1</v>
      </c>
      <c r="AI381" s="5">
        <v>0</v>
      </c>
      <c r="AJ381" s="3">
        <v>696</v>
      </c>
      <c r="AK381" s="5">
        <v>0</v>
      </c>
      <c r="AL381" s="5">
        <v>0.4</v>
      </c>
      <c r="AM381" s="5">
        <v>0</v>
      </c>
      <c r="AN381" s="3">
        <v>1150</v>
      </c>
      <c r="AO381">
        <v>0</v>
      </c>
      <c r="AP381">
        <v>1</v>
      </c>
      <c r="AQ381">
        <v>0</v>
      </c>
      <c r="AR381" s="5">
        <v>0.8</v>
      </c>
      <c r="AS381" s="5">
        <v>0</v>
      </c>
      <c r="AT381" s="5">
        <v>902</v>
      </c>
    </row>
    <row r="382" spans="1:46" hidden="1">
      <c r="A382" t="str">
        <f>_xlfn.XLOOKUP(Table13[[#This Row],[SAP]],'Location List'!B:B,'Location List'!G:G)</f>
        <v>MO/IA/NE</v>
      </c>
      <c r="B382" t="str">
        <f>LEFT(Table13[[#This Row],[Sap: Loaction]],4)</f>
        <v>4BSM</v>
      </c>
      <c r="C382" s="4" t="str">
        <f>_xlfn.XLOOKUP(Table13[[#This Row],[Employee]],'Location List'!M:M,'Location List'!N:N,"",0)</f>
        <v>RSM</v>
      </c>
      <c r="D382" t="s">
        <v>973</v>
      </c>
      <c r="E382" t="s">
        <v>852</v>
      </c>
      <c r="F382" t="s">
        <v>529</v>
      </c>
      <c r="G382" s="3">
        <v>5</v>
      </c>
      <c r="H382" s="3">
        <v>1362</v>
      </c>
      <c r="I382">
        <v>905.1</v>
      </c>
      <c r="J382" t="s">
        <v>454</v>
      </c>
      <c r="K382" s="6">
        <v>-1.74</v>
      </c>
      <c r="L382" s="6">
        <v>30</v>
      </c>
      <c r="M382" s="5">
        <v>-5.8000000000000003E-2</v>
      </c>
      <c r="N382" s="3">
        <v>1269</v>
      </c>
      <c r="O382" s="10">
        <v>2</v>
      </c>
      <c r="P382" s="10">
        <v>39</v>
      </c>
      <c r="Q382" s="5">
        <v>5.128205128205128E-2</v>
      </c>
      <c r="R382" s="5">
        <v>0.19</v>
      </c>
      <c r="S382" s="5">
        <v>0.26990500000000001</v>
      </c>
      <c r="T382" s="3">
        <v>1214</v>
      </c>
      <c r="U382" s="10">
        <v>0</v>
      </c>
      <c r="V382" s="10">
        <v>39</v>
      </c>
      <c r="W382" s="5">
        <v>0</v>
      </c>
      <c r="X382" s="5">
        <v>0.05</v>
      </c>
      <c r="Y382" s="5">
        <v>0</v>
      </c>
      <c r="Z382" s="3">
        <v>994</v>
      </c>
      <c r="AA382" s="11">
        <v>0</v>
      </c>
      <c r="AB382" s="3">
        <v>1357</v>
      </c>
      <c r="AC382">
        <v>0</v>
      </c>
      <c r="AD382" s="3">
        <v>75</v>
      </c>
      <c r="AE382">
        <v>2</v>
      </c>
      <c r="AF382">
        <v>7</v>
      </c>
      <c r="AG382" s="5">
        <v>0.2857142857142857</v>
      </c>
      <c r="AH382" s="5">
        <v>0.1</v>
      </c>
      <c r="AI382" s="5">
        <v>2.8571399999999998</v>
      </c>
      <c r="AJ382" s="3">
        <v>161</v>
      </c>
      <c r="AK382" s="5" t="s">
        <v>653</v>
      </c>
      <c r="AL382" s="5">
        <v>0.4</v>
      </c>
      <c r="AM382" s="5">
        <v>0</v>
      </c>
      <c r="AN382" s="3">
        <v>1150</v>
      </c>
      <c r="AO382">
        <v>0</v>
      </c>
      <c r="AP382">
        <v>0</v>
      </c>
      <c r="AQ382" s="5" t="s">
        <v>653</v>
      </c>
      <c r="AR382" s="5">
        <v>0.8</v>
      </c>
      <c r="AS382" s="5">
        <v>0</v>
      </c>
      <c r="AT382" s="5">
        <v>902</v>
      </c>
    </row>
    <row r="383" spans="1:46" hidden="1">
      <c r="A383" s="12" t="str">
        <f>_xlfn.XLOOKUP(Table13[[#This Row],[SAP]],'Location List'!B:B,'Location List'!G:G)</f>
        <v>MO/IA/NE</v>
      </c>
      <c r="B383" s="12" t="str">
        <f>LEFT(Table13[[#This Row],[Sap: Loaction]],4)</f>
        <v>4ASN</v>
      </c>
      <c r="C383" s="13" t="str">
        <f>_xlfn.XLOOKUP(Table13[[#This Row],[Employee]],'Location List'!M:M,'Location List'!N:N,"",0)</f>
        <v/>
      </c>
      <c r="D383" t="s">
        <v>973</v>
      </c>
      <c r="E383" t="s">
        <v>822</v>
      </c>
      <c r="F383" t="s">
        <v>544</v>
      </c>
      <c r="G383" s="3">
        <v>5</v>
      </c>
      <c r="H383" s="3">
        <v>1363</v>
      </c>
      <c r="I383">
        <v>905.15</v>
      </c>
      <c r="J383" t="s">
        <v>454</v>
      </c>
      <c r="K383" s="6">
        <v>11.38</v>
      </c>
      <c r="L383" s="6">
        <v>40.000000000000007</v>
      </c>
      <c r="M383" s="5">
        <v>0.28449999999999998</v>
      </c>
      <c r="N383" s="3">
        <v>1011</v>
      </c>
      <c r="O383" s="10">
        <v>7</v>
      </c>
      <c r="P383" s="10">
        <v>180</v>
      </c>
      <c r="Q383" s="5">
        <v>3.888888888888889E-2</v>
      </c>
      <c r="R383" s="5">
        <v>0.19</v>
      </c>
      <c r="S383" s="5">
        <v>0.20467299999999999</v>
      </c>
      <c r="T383" s="3">
        <v>1258</v>
      </c>
      <c r="U383" s="10">
        <v>3</v>
      </c>
      <c r="V383" s="10">
        <v>180</v>
      </c>
      <c r="W383" s="5">
        <v>1.6666666666666666E-2</v>
      </c>
      <c r="X383" s="5">
        <v>0.05</v>
      </c>
      <c r="Y383" s="5">
        <v>0.33332000000000001</v>
      </c>
      <c r="Z383" s="3">
        <v>756</v>
      </c>
      <c r="AA383" s="11">
        <v>0.4375</v>
      </c>
      <c r="AB383" s="3">
        <v>1238</v>
      </c>
      <c r="AC383">
        <v>10</v>
      </c>
      <c r="AD383" s="3">
        <v>1</v>
      </c>
      <c r="AE383" s="5">
        <v>0</v>
      </c>
      <c r="AF383" s="5">
        <v>5</v>
      </c>
      <c r="AG383" s="5">
        <v>0</v>
      </c>
      <c r="AH383" s="5">
        <v>0.1</v>
      </c>
      <c r="AI383" s="5">
        <v>0</v>
      </c>
      <c r="AJ383" s="3">
        <v>696</v>
      </c>
      <c r="AK383" s="5">
        <v>0</v>
      </c>
      <c r="AL383" s="5">
        <v>0.4</v>
      </c>
      <c r="AM383" s="5">
        <v>0</v>
      </c>
      <c r="AN383" s="3">
        <v>1150</v>
      </c>
      <c r="AO383" s="5">
        <v>1</v>
      </c>
      <c r="AP383" s="5">
        <v>3</v>
      </c>
      <c r="AQ383" s="5">
        <v>0.33333333333333331</v>
      </c>
      <c r="AR383" s="5">
        <v>0.8</v>
      </c>
      <c r="AS383" s="5">
        <v>0.41666599999999998</v>
      </c>
      <c r="AT383" s="5">
        <v>830</v>
      </c>
    </row>
    <row r="384" spans="1:46">
      <c r="A384" s="12" t="str">
        <f>_xlfn.XLOOKUP(Table13[[#This Row],[SAP]],'Location List'!B:B,'Location List'!G:G)</f>
        <v>SA SOUTH</v>
      </c>
      <c r="B384" s="12" t="str">
        <f>LEFT(Table13[[#This Row],[Sap: Loaction]],4)</f>
        <v>5441</v>
      </c>
      <c r="C384" s="13" t="str">
        <f>_xlfn.XLOOKUP(Table13[[#This Row],[Employee]],'Location List'!M:M,'Location List'!N:N,"",0)</f>
        <v/>
      </c>
      <c r="D384" t="s">
        <v>973</v>
      </c>
      <c r="E384" t="s">
        <v>833</v>
      </c>
      <c r="F384" t="s">
        <v>535</v>
      </c>
      <c r="G384" s="3">
        <v>5</v>
      </c>
      <c r="H384" s="3">
        <v>1364</v>
      </c>
      <c r="I384">
        <v>905.9</v>
      </c>
      <c r="J384" t="s">
        <v>454</v>
      </c>
      <c r="K384" s="6">
        <v>-39.24</v>
      </c>
      <c r="L384" s="6">
        <v>40</v>
      </c>
      <c r="M384" s="5">
        <v>-0.98099999999999998</v>
      </c>
      <c r="N384" s="3">
        <v>1434</v>
      </c>
      <c r="O384" s="10">
        <v>2</v>
      </c>
      <c r="P384" s="10">
        <v>88</v>
      </c>
      <c r="Q384" s="5">
        <v>2.2727272727272728E-2</v>
      </c>
      <c r="R384" s="5">
        <v>0.19</v>
      </c>
      <c r="S384" s="5">
        <v>0.119615</v>
      </c>
      <c r="T384" s="3">
        <v>1302</v>
      </c>
      <c r="U384" s="10">
        <v>3</v>
      </c>
      <c r="V384" s="10">
        <v>88</v>
      </c>
      <c r="W384" s="5">
        <v>3.4090909090909088E-2</v>
      </c>
      <c r="X384" s="5">
        <v>0.05</v>
      </c>
      <c r="Y384" s="5">
        <v>0.68179999999999996</v>
      </c>
      <c r="Z384" s="3">
        <v>392</v>
      </c>
      <c r="AA384" s="11">
        <v>1</v>
      </c>
      <c r="AB384" s="3">
        <v>741</v>
      </c>
      <c r="AC384">
        <v>0</v>
      </c>
      <c r="AD384" s="3">
        <v>75</v>
      </c>
      <c r="AE384" s="5">
        <v>0</v>
      </c>
      <c r="AF384" s="5">
        <v>6</v>
      </c>
      <c r="AG384" s="5">
        <v>0</v>
      </c>
      <c r="AH384" s="5">
        <v>0.1</v>
      </c>
      <c r="AI384" s="5">
        <v>0</v>
      </c>
      <c r="AJ384" s="3">
        <v>696</v>
      </c>
      <c r="AK384" s="5">
        <v>0</v>
      </c>
      <c r="AL384" s="5">
        <v>0.4</v>
      </c>
      <c r="AM384" s="5">
        <v>0</v>
      </c>
      <c r="AN384" s="3">
        <v>1150</v>
      </c>
      <c r="AO384" s="5">
        <v>0</v>
      </c>
      <c r="AP384" s="5">
        <v>0</v>
      </c>
      <c r="AQ384" s="5" t="s">
        <v>653</v>
      </c>
      <c r="AR384" s="5">
        <v>0.8</v>
      </c>
      <c r="AS384" s="5">
        <v>0</v>
      </c>
      <c r="AT384" s="5">
        <v>902</v>
      </c>
    </row>
    <row r="385" spans="1:46" hidden="1">
      <c r="A385" s="12" t="str">
        <f>_xlfn.XLOOKUP(Table13[[#This Row],[SAP]],'Location List'!B:B,'Location List'!G:G)</f>
        <v>DFW EAST</v>
      </c>
      <c r="B385" s="12" t="str">
        <f>LEFT(Table13[[#This Row],[Sap: Loaction]],4)</f>
        <v>875E</v>
      </c>
      <c r="C385" s="13" t="str">
        <f>_xlfn.XLOOKUP(Table13[[#This Row],[Employee]],'Location List'!M:M,'Location List'!N:N,"",0)</f>
        <v>RSM</v>
      </c>
      <c r="D385" t="s">
        <v>973</v>
      </c>
      <c r="E385" t="s">
        <v>963</v>
      </c>
      <c r="F385" t="s">
        <v>503</v>
      </c>
      <c r="G385" s="3">
        <v>5</v>
      </c>
      <c r="H385" s="3">
        <v>1366</v>
      </c>
      <c r="I385">
        <v>913.35</v>
      </c>
      <c r="J385" t="s">
        <v>454</v>
      </c>
      <c r="K385" s="6">
        <v>-13.08</v>
      </c>
      <c r="L385" s="6">
        <v>35</v>
      </c>
      <c r="M385" s="5">
        <v>-0.37371428571428572</v>
      </c>
      <c r="N385" s="3">
        <v>1367</v>
      </c>
      <c r="O385" s="10">
        <v>1</v>
      </c>
      <c r="P385" s="10">
        <v>9</v>
      </c>
      <c r="Q385" s="5">
        <v>0.1111111111111111</v>
      </c>
      <c r="R385" s="5">
        <v>0.19</v>
      </c>
      <c r="S385" s="5">
        <v>0.58479400000000004</v>
      </c>
      <c r="T385" s="3">
        <v>910</v>
      </c>
      <c r="U385" s="10">
        <v>0</v>
      </c>
      <c r="V385" s="10">
        <v>9</v>
      </c>
      <c r="W385" s="5">
        <v>0</v>
      </c>
      <c r="X385" s="5">
        <v>0.05</v>
      </c>
      <c r="Y385" s="5">
        <v>0</v>
      </c>
      <c r="Z385" s="3">
        <v>994</v>
      </c>
      <c r="AA385" s="11">
        <v>0.5</v>
      </c>
      <c r="AB385" s="3">
        <v>1172</v>
      </c>
      <c r="AC385">
        <v>10</v>
      </c>
      <c r="AD385" s="3">
        <v>1</v>
      </c>
      <c r="AE385" s="5">
        <v>0</v>
      </c>
      <c r="AF385" s="5">
        <v>15</v>
      </c>
      <c r="AG385" s="5">
        <v>0</v>
      </c>
      <c r="AH385" s="5">
        <v>0.1</v>
      </c>
      <c r="AI385" s="5">
        <v>0</v>
      </c>
      <c r="AJ385" s="3">
        <v>696</v>
      </c>
      <c r="AK385" s="5">
        <v>0</v>
      </c>
      <c r="AL385" s="5">
        <v>0.4</v>
      </c>
      <c r="AM385" s="5">
        <v>0</v>
      </c>
      <c r="AN385" s="3">
        <v>1150</v>
      </c>
      <c r="AO385" s="5">
        <v>0</v>
      </c>
      <c r="AP385" s="5">
        <v>0</v>
      </c>
      <c r="AQ385" s="5" t="s">
        <v>653</v>
      </c>
      <c r="AR385" s="5">
        <v>0.8</v>
      </c>
      <c r="AS385" s="5">
        <v>0</v>
      </c>
      <c r="AT385" s="5">
        <v>902</v>
      </c>
    </row>
    <row r="386" spans="1:46" hidden="1">
      <c r="A386" s="12" t="str">
        <f>_xlfn.XLOOKUP(Table13[[#This Row],[SAP]],'Location List'!B:B,'Location List'!G:G)</f>
        <v>CENTRAL TEXAS</v>
      </c>
      <c r="B386" s="12" t="str">
        <f>LEFT(Table13[[#This Row],[Sap: Loaction]],4)</f>
        <v>1DSF</v>
      </c>
      <c r="C386" s="13" t="str">
        <f>_xlfn.XLOOKUP(Table13[[#This Row],[Employee]],'Location List'!M:M,'Location List'!N:N,"",0)</f>
        <v/>
      </c>
      <c r="D386" t="s">
        <v>973</v>
      </c>
      <c r="E386" t="s">
        <v>791</v>
      </c>
      <c r="F386" t="s">
        <v>546</v>
      </c>
      <c r="G386" s="3">
        <v>5</v>
      </c>
      <c r="H386" s="3">
        <v>1368</v>
      </c>
      <c r="I386">
        <v>914.7</v>
      </c>
      <c r="J386" t="s">
        <v>454</v>
      </c>
      <c r="K386" s="6">
        <v>10.47</v>
      </c>
      <c r="L386" s="6">
        <v>35</v>
      </c>
      <c r="M386" s="5">
        <v>0.29914285714285715</v>
      </c>
      <c r="N386" s="3">
        <v>994</v>
      </c>
      <c r="O386" s="10">
        <v>2</v>
      </c>
      <c r="P386" s="10">
        <v>49</v>
      </c>
      <c r="Q386" s="5">
        <v>4.0816326530612242E-2</v>
      </c>
      <c r="R386" s="5">
        <v>0.19</v>
      </c>
      <c r="S386" s="5">
        <v>0.21482100000000001</v>
      </c>
      <c r="T386" s="3">
        <v>1247</v>
      </c>
      <c r="U386" s="10">
        <v>1</v>
      </c>
      <c r="V386" s="10">
        <v>49</v>
      </c>
      <c r="W386" s="5">
        <v>2.0408163265306121E-2</v>
      </c>
      <c r="X386" s="5">
        <v>0.05</v>
      </c>
      <c r="Y386" s="5">
        <v>0.40816000000000002</v>
      </c>
      <c r="Z386" s="3">
        <v>647</v>
      </c>
      <c r="AA386" s="11">
        <v>0.16666600000000001</v>
      </c>
      <c r="AB386" s="3">
        <v>1344</v>
      </c>
      <c r="AC386">
        <v>0</v>
      </c>
      <c r="AD386" s="3">
        <v>75</v>
      </c>
      <c r="AE386" s="5">
        <v>0</v>
      </c>
      <c r="AF386" s="5">
        <v>8</v>
      </c>
      <c r="AG386" s="5">
        <v>0</v>
      </c>
      <c r="AH386" s="5">
        <v>0.1</v>
      </c>
      <c r="AI386" s="5">
        <v>0</v>
      </c>
      <c r="AJ386" s="3">
        <v>696</v>
      </c>
      <c r="AK386" s="5">
        <v>0</v>
      </c>
      <c r="AL386" s="5">
        <v>0.4</v>
      </c>
      <c r="AM386" s="5">
        <v>0</v>
      </c>
      <c r="AN386" s="3">
        <v>1150</v>
      </c>
      <c r="AO386" s="5">
        <v>0</v>
      </c>
      <c r="AP386" s="5">
        <v>0</v>
      </c>
      <c r="AQ386" s="5" t="s">
        <v>653</v>
      </c>
      <c r="AR386" s="5">
        <v>0.8</v>
      </c>
      <c r="AS386" s="5">
        <v>0</v>
      </c>
      <c r="AT386" s="5">
        <v>902</v>
      </c>
    </row>
    <row r="387" spans="1:46">
      <c r="A387" s="12" t="str">
        <f>_xlfn.XLOOKUP(Table13[[#This Row],[SAP]],'Location List'!B:B,'Location List'!G:G)</f>
        <v>DFW NORTH</v>
      </c>
      <c r="B387" s="12" t="str">
        <f>LEFT(Table13[[#This Row],[Sap: Loaction]],4)</f>
        <v>465D</v>
      </c>
      <c r="C387" s="13" t="str">
        <f>_xlfn.XLOOKUP(Table13[[#This Row],[Employee]],'Location List'!M:M,'Location List'!N:N,"",0)</f>
        <v>RSM</v>
      </c>
      <c r="D387" t="s">
        <v>973</v>
      </c>
      <c r="E387" t="s">
        <v>895</v>
      </c>
      <c r="F387" t="s">
        <v>551</v>
      </c>
      <c r="G387" s="3">
        <v>5</v>
      </c>
      <c r="H387" s="3">
        <v>1372</v>
      </c>
      <c r="I387">
        <v>925.95</v>
      </c>
      <c r="J387" t="s">
        <v>454</v>
      </c>
      <c r="K387" s="6">
        <v>-15.41</v>
      </c>
      <c r="L387" s="6">
        <v>40</v>
      </c>
      <c r="M387" s="5">
        <v>-0.38524999999999998</v>
      </c>
      <c r="N387" s="3">
        <v>1373</v>
      </c>
      <c r="O387" s="10">
        <v>0</v>
      </c>
      <c r="P387" s="10">
        <v>54</v>
      </c>
      <c r="Q387" s="5">
        <v>0</v>
      </c>
      <c r="R387" s="5">
        <v>0.19</v>
      </c>
      <c r="S387" s="5">
        <v>0</v>
      </c>
      <c r="T387" s="3">
        <v>1332</v>
      </c>
      <c r="U387" s="10">
        <v>1</v>
      </c>
      <c r="V387" s="10">
        <v>54</v>
      </c>
      <c r="W387" s="5">
        <v>1.8518518518518517E-2</v>
      </c>
      <c r="X387" s="5">
        <v>0.05</v>
      </c>
      <c r="Y387" s="5">
        <v>0.37036000000000002</v>
      </c>
      <c r="Z387" s="3">
        <v>698</v>
      </c>
      <c r="AA387" s="11">
        <v>1</v>
      </c>
      <c r="AB387" s="3">
        <v>741</v>
      </c>
      <c r="AC387">
        <v>10</v>
      </c>
      <c r="AD387" s="3">
        <v>1</v>
      </c>
      <c r="AE387" s="5">
        <v>0</v>
      </c>
      <c r="AF387" s="5">
        <v>8</v>
      </c>
      <c r="AG387" s="5">
        <v>0</v>
      </c>
      <c r="AH387" s="5">
        <v>0.1</v>
      </c>
      <c r="AI387" s="5">
        <v>0</v>
      </c>
      <c r="AJ387" s="3">
        <v>696</v>
      </c>
      <c r="AK387" s="5" t="s">
        <v>653</v>
      </c>
      <c r="AL387" s="5">
        <v>0.4</v>
      </c>
      <c r="AM387" s="5">
        <v>0</v>
      </c>
      <c r="AN387" s="3">
        <v>1150</v>
      </c>
      <c r="AO387" s="5">
        <v>0</v>
      </c>
      <c r="AP387" s="5">
        <v>0</v>
      </c>
      <c r="AQ387" s="5" t="s">
        <v>653</v>
      </c>
      <c r="AR387" s="5">
        <v>0.8</v>
      </c>
      <c r="AS387" s="5">
        <v>0</v>
      </c>
      <c r="AT387" s="5">
        <v>902</v>
      </c>
    </row>
    <row r="388" spans="1:46" hidden="1">
      <c r="A388" s="12" t="str">
        <f>_xlfn.XLOOKUP(Table13[[#This Row],[SAP]],'Location List'!B:B,'Location List'!G:G)</f>
        <v>MO/IA/NE</v>
      </c>
      <c r="B388" s="12" t="str">
        <f>LEFT(Table13[[#This Row],[Sap: Loaction]],4)</f>
        <v>4BSH</v>
      </c>
      <c r="C388" s="13" t="str">
        <f>_xlfn.XLOOKUP(Table13[[#This Row],[Employee]],'Location List'!M:M,'Location List'!N:N,"",0)</f>
        <v/>
      </c>
      <c r="D388" t="s">
        <v>973</v>
      </c>
      <c r="E388" t="s">
        <v>956</v>
      </c>
      <c r="F388" t="s">
        <v>578</v>
      </c>
      <c r="G388" s="3">
        <v>5</v>
      </c>
      <c r="H388" s="3">
        <v>1375</v>
      </c>
      <c r="I388">
        <v>929.6</v>
      </c>
      <c r="J388" t="s">
        <v>454</v>
      </c>
      <c r="K388" s="6">
        <v>14.52</v>
      </c>
      <c r="L388" s="6">
        <v>35</v>
      </c>
      <c r="M388" s="5">
        <v>0.41485714285714287</v>
      </c>
      <c r="N388" s="3">
        <v>920</v>
      </c>
      <c r="O388" s="10">
        <v>3</v>
      </c>
      <c r="P388" s="10">
        <v>65</v>
      </c>
      <c r="Q388" s="5">
        <v>4.6153846153846156E-2</v>
      </c>
      <c r="R388" s="5">
        <v>0.19</v>
      </c>
      <c r="S388" s="5">
        <v>0.24290999999999999</v>
      </c>
      <c r="T388" s="3">
        <v>1234</v>
      </c>
      <c r="U388" s="10">
        <v>0</v>
      </c>
      <c r="V388" s="10">
        <v>65</v>
      </c>
      <c r="W388" s="5">
        <v>0</v>
      </c>
      <c r="X388" s="5">
        <v>0.05</v>
      </c>
      <c r="Y388" s="5">
        <v>0</v>
      </c>
      <c r="Z388" s="3">
        <v>994</v>
      </c>
      <c r="AA388" s="11">
        <v>0</v>
      </c>
      <c r="AB388" s="3">
        <v>1357</v>
      </c>
      <c r="AC388">
        <v>10</v>
      </c>
      <c r="AD388" s="3">
        <v>1</v>
      </c>
      <c r="AE388" s="5">
        <v>0</v>
      </c>
      <c r="AF388" s="5">
        <v>5</v>
      </c>
      <c r="AG388" s="5">
        <v>0</v>
      </c>
      <c r="AH388" s="5">
        <v>0.1</v>
      </c>
      <c r="AI388" s="5">
        <v>0</v>
      </c>
      <c r="AJ388" s="3">
        <v>696</v>
      </c>
      <c r="AK388" s="5">
        <v>0</v>
      </c>
      <c r="AL388" s="5">
        <v>0.4</v>
      </c>
      <c r="AM388" s="5">
        <v>0</v>
      </c>
      <c r="AN388" s="3">
        <v>1150</v>
      </c>
      <c r="AO388" s="5">
        <v>0</v>
      </c>
      <c r="AP388" s="5">
        <v>2</v>
      </c>
      <c r="AQ388" s="5">
        <v>0</v>
      </c>
      <c r="AR388" s="5">
        <v>0.8</v>
      </c>
      <c r="AS388" s="5">
        <v>0</v>
      </c>
      <c r="AT388" s="5">
        <v>902</v>
      </c>
    </row>
    <row r="389" spans="1:46">
      <c r="A389" s="12" t="str">
        <f>_xlfn.XLOOKUP(Table13[[#This Row],[SAP]],'Location List'!B:B,'Location List'!G:G)</f>
        <v>MO/IA/NE</v>
      </c>
      <c r="B389" s="12" t="str">
        <f>LEFT(Table13[[#This Row],[Sap: Loaction]],4)</f>
        <v>4BSP</v>
      </c>
      <c r="C389" s="13" t="str">
        <f>_xlfn.XLOOKUP(Table13[[#This Row],[Employee]],'Location List'!M:M,'Location List'!N:N,"",0)</f>
        <v/>
      </c>
      <c r="D389" t="s">
        <v>973</v>
      </c>
      <c r="E389" t="s">
        <v>882</v>
      </c>
      <c r="F389" t="s">
        <v>569</v>
      </c>
      <c r="G389" s="3">
        <v>5</v>
      </c>
      <c r="H389" s="3">
        <v>1380</v>
      </c>
      <c r="I389">
        <v>940.1</v>
      </c>
      <c r="J389" t="s">
        <v>454</v>
      </c>
      <c r="K389" s="6">
        <v>-11.52</v>
      </c>
      <c r="L389" s="6">
        <v>30</v>
      </c>
      <c r="M389" s="5">
        <v>-0.38400000000000001</v>
      </c>
      <c r="N389" s="3">
        <v>1372</v>
      </c>
      <c r="O389" s="10">
        <v>3</v>
      </c>
      <c r="P389" s="10">
        <v>32</v>
      </c>
      <c r="Q389" s="5">
        <v>9.375E-2</v>
      </c>
      <c r="R389" s="5">
        <v>0.19</v>
      </c>
      <c r="S389" s="5">
        <v>0.493421</v>
      </c>
      <c r="T389" s="3">
        <v>1019</v>
      </c>
      <c r="U389" s="10">
        <v>0</v>
      </c>
      <c r="V389" s="10">
        <v>32</v>
      </c>
      <c r="W389" s="5">
        <v>0</v>
      </c>
      <c r="X389" s="5">
        <v>0.05</v>
      </c>
      <c r="Y389" s="5">
        <v>0</v>
      </c>
      <c r="Z389" s="3">
        <v>994</v>
      </c>
      <c r="AA389" s="11">
        <v>0.5</v>
      </c>
      <c r="AB389" s="3">
        <v>1172</v>
      </c>
      <c r="AC389">
        <v>7.5</v>
      </c>
      <c r="AD389" s="3">
        <v>43</v>
      </c>
      <c r="AE389" s="5">
        <v>0</v>
      </c>
      <c r="AF389" s="5">
        <v>2</v>
      </c>
      <c r="AG389" s="5">
        <v>0</v>
      </c>
      <c r="AH389" s="5">
        <v>0.1</v>
      </c>
      <c r="AI389" s="5">
        <v>0</v>
      </c>
      <c r="AJ389" s="3">
        <v>696</v>
      </c>
      <c r="AK389" s="5">
        <v>0</v>
      </c>
      <c r="AL389" s="5">
        <v>0.4</v>
      </c>
      <c r="AM389" s="5">
        <v>0</v>
      </c>
      <c r="AN389" s="3">
        <v>1150</v>
      </c>
      <c r="AO389" s="5">
        <v>0</v>
      </c>
      <c r="AP389" s="5">
        <v>0</v>
      </c>
      <c r="AQ389" s="5" t="s">
        <v>653</v>
      </c>
      <c r="AR389" s="5">
        <v>0.8</v>
      </c>
      <c r="AS389" s="5">
        <v>0</v>
      </c>
      <c r="AT389" s="5">
        <v>902</v>
      </c>
    </row>
    <row r="390" spans="1:46" hidden="1">
      <c r="A390" s="12" t="str">
        <f>_xlfn.XLOOKUP(Table13[[#This Row],[SAP]],'Location List'!B:B,'Location List'!G:G)</f>
        <v>SOUTH TX/RGV</v>
      </c>
      <c r="B390" s="12" t="str">
        <f>LEFT(Table13[[#This Row],[Sap: Loaction]],4)</f>
        <v>598D</v>
      </c>
      <c r="C390" s="13" t="str">
        <f>_xlfn.XLOOKUP(Table13[[#This Row],[Employee]],'Location List'!M:M,'Location List'!N:N,"",0)</f>
        <v>RSM</v>
      </c>
      <c r="D390" t="s">
        <v>973</v>
      </c>
      <c r="E390" t="s">
        <v>953</v>
      </c>
      <c r="F390" t="s">
        <v>574</v>
      </c>
      <c r="G390" s="3">
        <v>5</v>
      </c>
      <c r="H390" s="3">
        <v>1388</v>
      </c>
      <c r="I390">
        <v>953.35</v>
      </c>
      <c r="J390" t="s">
        <v>454</v>
      </c>
      <c r="K390" s="6">
        <v>5.08</v>
      </c>
      <c r="L390" s="6">
        <v>40</v>
      </c>
      <c r="M390" s="5">
        <v>0.127</v>
      </c>
      <c r="N390" s="3">
        <v>1111</v>
      </c>
      <c r="O390" s="10">
        <v>1</v>
      </c>
      <c r="P390" s="10">
        <v>98</v>
      </c>
      <c r="Q390" s="5">
        <v>1.020408163265306E-2</v>
      </c>
      <c r="R390" s="5">
        <v>0.19</v>
      </c>
      <c r="S390" s="5">
        <v>5.3705000000000003E-2</v>
      </c>
      <c r="T390" s="3">
        <v>1328</v>
      </c>
      <c r="U390" s="10">
        <v>0</v>
      </c>
      <c r="V390" s="10">
        <v>98</v>
      </c>
      <c r="W390" s="5">
        <v>0</v>
      </c>
      <c r="X390" s="5">
        <v>0.05</v>
      </c>
      <c r="Y390" s="5">
        <v>0</v>
      </c>
      <c r="Z390" s="3">
        <v>994</v>
      </c>
      <c r="AA390" s="11">
        <v>0.6</v>
      </c>
      <c r="AB390" s="3">
        <v>1120</v>
      </c>
      <c r="AC390">
        <v>10</v>
      </c>
      <c r="AD390" s="3">
        <v>1</v>
      </c>
      <c r="AE390" s="5">
        <v>0</v>
      </c>
      <c r="AF390" s="5">
        <v>11</v>
      </c>
      <c r="AG390" s="5">
        <v>0</v>
      </c>
      <c r="AH390" s="5">
        <v>0.1</v>
      </c>
      <c r="AI390" s="5">
        <v>0</v>
      </c>
      <c r="AJ390" s="3">
        <v>696</v>
      </c>
      <c r="AK390" s="5" t="s">
        <v>653</v>
      </c>
      <c r="AL390" s="5">
        <v>0.4</v>
      </c>
      <c r="AM390" s="5">
        <v>0</v>
      </c>
      <c r="AN390" s="3">
        <v>1150</v>
      </c>
      <c r="AO390" s="5">
        <v>0</v>
      </c>
      <c r="AP390" s="5">
        <v>0</v>
      </c>
      <c r="AQ390" s="5" t="s">
        <v>653</v>
      </c>
      <c r="AR390" s="5">
        <v>0.8</v>
      </c>
      <c r="AS390" s="5">
        <v>0</v>
      </c>
      <c r="AT390" s="5">
        <v>902</v>
      </c>
    </row>
    <row r="391" spans="1:46">
      <c r="A391" s="12" t="str">
        <f>_xlfn.XLOOKUP(Table13[[#This Row],[SAP]],'Location List'!B:B,'Location List'!G:G)</f>
        <v>CENTRAL TEXAS</v>
      </c>
      <c r="B391" s="12" t="str">
        <f>LEFT(Table13[[#This Row],[Sap: Loaction]],4)</f>
        <v>1DSF</v>
      </c>
      <c r="C391" s="13" t="str">
        <f>_xlfn.XLOOKUP(Table13[[#This Row],[Employee]],'Location List'!M:M,'Location List'!N:N,"",0)</f>
        <v/>
      </c>
      <c r="D391" t="s">
        <v>973</v>
      </c>
      <c r="E391" t="s">
        <v>856</v>
      </c>
      <c r="F391" t="s">
        <v>546</v>
      </c>
      <c r="G391" s="3">
        <v>5</v>
      </c>
      <c r="H391" s="3">
        <v>1393</v>
      </c>
      <c r="I391">
        <v>958.6</v>
      </c>
      <c r="J391" t="s">
        <v>454</v>
      </c>
      <c r="K391" s="6">
        <v>-10.119999999999999</v>
      </c>
      <c r="L391" s="6">
        <v>35</v>
      </c>
      <c r="M391" s="5">
        <v>-0.28914285714285715</v>
      </c>
      <c r="N391" s="3">
        <v>1344</v>
      </c>
      <c r="O391" s="10">
        <v>0</v>
      </c>
      <c r="P391" s="10">
        <v>26</v>
      </c>
      <c r="Q391" s="5">
        <v>0</v>
      </c>
      <c r="R391" s="5">
        <v>0.19</v>
      </c>
      <c r="S391" s="5">
        <v>0</v>
      </c>
      <c r="T391" s="3">
        <v>1332</v>
      </c>
      <c r="U391" s="10">
        <v>0</v>
      </c>
      <c r="V391" s="10">
        <v>26</v>
      </c>
      <c r="W391" s="5">
        <v>0</v>
      </c>
      <c r="X391" s="5">
        <v>0.05</v>
      </c>
      <c r="Y391" s="5">
        <v>0</v>
      </c>
      <c r="Z391" s="3">
        <v>994</v>
      </c>
      <c r="AA391" s="11">
        <v>1</v>
      </c>
      <c r="AB391" s="3">
        <v>741</v>
      </c>
      <c r="AC391">
        <v>0</v>
      </c>
      <c r="AD391" s="3">
        <v>75</v>
      </c>
      <c r="AE391" s="5">
        <v>0</v>
      </c>
      <c r="AF391" s="5">
        <v>4</v>
      </c>
      <c r="AG391" s="5">
        <v>0</v>
      </c>
      <c r="AH391" s="5">
        <v>0.1</v>
      </c>
      <c r="AI391" s="5">
        <v>0</v>
      </c>
      <c r="AJ391" s="3">
        <v>696</v>
      </c>
      <c r="AK391" s="5" t="s">
        <v>653</v>
      </c>
      <c r="AL391" s="5">
        <v>0.4</v>
      </c>
      <c r="AM391" s="5">
        <v>0</v>
      </c>
      <c r="AN391" s="3">
        <v>1150</v>
      </c>
      <c r="AO391" s="5">
        <v>0</v>
      </c>
      <c r="AP391" s="5">
        <v>0</v>
      </c>
      <c r="AQ391" s="5" t="s">
        <v>653</v>
      </c>
      <c r="AR391" s="5">
        <v>0.8</v>
      </c>
      <c r="AS391" s="5">
        <v>0</v>
      </c>
      <c r="AT391" s="5">
        <v>902</v>
      </c>
    </row>
    <row r="392" spans="1:46" hidden="1">
      <c r="A392" s="12" t="str">
        <f>_xlfn.XLOOKUP(Table13[[#This Row],[SAP]],'Location List'!B:B,'Location List'!G:G)</f>
        <v>DFW NORTH</v>
      </c>
      <c r="B392" s="12" t="str">
        <f>LEFT(Table13[[#This Row],[Sap: Loaction]],4)</f>
        <v>465D</v>
      </c>
      <c r="C392" s="13" t="str">
        <f>_xlfn.XLOOKUP(Table13[[#This Row],[Employee]],'Location List'!M:M,'Location List'!N:N,"",0)</f>
        <v/>
      </c>
      <c r="D392" t="s">
        <v>973</v>
      </c>
      <c r="E392" t="s">
        <v>706</v>
      </c>
      <c r="F392" t="s">
        <v>551</v>
      </c>
      <c r="G392" s="3">
        <v>5</v>
      </c>
      <c r="H392" s="3">
        <v>1397</v>
      </c>
      <c r="I392">
        <v>976</v>
      </c>
      <c r="J392" t="s">
        <v>454</v>
      </c>
      <c r="K392" s="6">
        <v>-199.82</v>
      </c>
      <c r="L392" s="6">
        <v>40</v>
      </c>
      <c r="M392" s="5">
        <v>-4.9954999999999998</v>
      </c>
      <c r="N392" s="3">
        <v>1460</v>
      </c>
      <c r="O392" s="10">
        <v>0</v>
      </c>
      <c r="P392" s="10">
        <v>7</v>
      </c>
      <c r="Q392" s="5">
        <v>0</v>
      </c>
      <c r="R392" s="5">
        <v>0.19</v>
      </c>
      <c r="S392" s="5">
        <v>0</v>
      </c>
      <c r="T392" s="3">
        <v>1332</v>
      </c>
      <c r="U392" s="10">
        <v>0</v>
      </c>
      <c r="V392" s="10">
        <v>7</v>
      </c>
      <c r="W392" s="5">
        <v>0</v>
      </c>
      <c r="X392" s="5">
        <v>0.05</v>
      </c>
      <c r="Y392" s="5">
        <v>0</v>
      </c>
      <c r="Z392" s="3">
        <v>994</v>
      </c>
      <c r="AA392" s="11">
        <v>1</v>
      </c>
      <c r="AB392" s="3">
        <v>741</v>
      </c>
      <c r="AC392">
        <v>0</v>
      </c>
      <c r="AD392" s="3">
        <v>75</v>
      </c>
      <c r="AE392" s="5">
        <v>0</v>
      </c>
      <c r="AF392" s="5">
        <v>0</v>
      </c>
      <c r="AG392" s="5" t="s">
        <v>653</v>
      </c>
      <c r="AH392" s="5">
        <v>0.1</v>
      </c>
      <c r="AI392" s="5">
        <v>0</v>
      </c>
      <c r="AJ392" s="3">
        <v>696</v>
      </c>
      <c r="AK392" s="5" t="s">
        <v>653</v>
      </c>
      <c r="AL392" s="5">
        <v>0.4</v>
      </c>
      <c r="AM392" s="5">
        <v>0</v>
      </c>
      <c r="AN392" s="3">
        <v>1150</v>
      </c>
      <c r="AO392" s="5">
        <v>0</v>
      </c>
      <c r="AP392" s="5">
        <v>0</v>
      </c>
      <c r="AQ392" s="5" t="s">
        <v>653</v>
      </c>
      <c r="AR392" s="5">
        <v>0.8</v>
      </c>
      <c r="AS392" s="5">
        <v>0</v>
      </c>
      <c r="AT392" s="5">
        <v>902</v>
      </c>
    </row>
    <row r="393" spans="1:46" hidden="1">
      <c r="A393" s="12" t="str">
        <f>_xlfn.XLOOKUP(Table13[[#This Row],[SAP]],'Location List'!B:B,'Location List'!G:G)</f>
        <v>MO/IA/NE</v>
      </c>
      <c r="B393" s="12" t="str">
        <f>LEFT(Table13[[#This Row],[Sap: Loaction]],4)</f>
        <v>4BSH</v>
      </c>
      <c r="C393" s="13" t="str">
        <f>_xlfn.XLOOKUP(Table13[[#This Row],[Employee]],'Location List'!M:M,'Location List'!N:N,"",0)</f>
        <v/>
      </c>
      <c r="D393" t="s">
        <v>973</v>
      </c>
      <c r="E393" t="s">
        <v>950</v>
      </c>
      <c r="F393" t="s">
        <v>578</v>
      </c>
      <c r="G393" s="3">
        <v>5</v>
      </c>
      <c r="H393" s="3">
        <v>1406</v>
      </c>
      <c r="I393">
        <v>992.25</v>
      </c>
      <c r="J393" t="s">
        <v>454</v>
      </c>
      <c r="K393" s="6">
        <v>0</v>
      </c>
      <c r="L393" s="6" t="s">
        <v>653</v>
      </c>
      <c r="M393" s="5">
        <v>0</v>
      </c>
      <c r="N393" s="3">
        <v>1207</v>
      </c>
      <c r="O393" s="10">
        <v>0</v>
      </c>
      <c r="P393" s="10">
        <v>3</v>
      </c>
      <c r="Q393" s="5">
        <v>0</v>
      </c>
      <c r="R393" s="5">
        <v>0.19</v>
      </c>
      <c r="S393" s="5">
        <v>0</v>
      </c>
      <c r="T393" s="3">
        <v>1332</v>
      </c>
      <c r="U393" s="10">
        <v>0</v>
      </c>
      <c r="V393" s="10">
        <v>3</v>
      </c>
      <c r="W393" s="5">
        <v>0</v>
      </c>
      <c r="X393" s="5">
        <v>0.05</v>
      </c>
      <c r="Y393" s="5">
        <v>0</v>
      </c>
      <c r="Z393" s="3">
        <v>994</v>
      </c>
      <c r="AA393" s="11">
        <v>0</v>
      </c>
      <c r="AB393" s="3">
        <v>1357</v>
      </c>
      <c r="AC393">
        <v>10</v>
      </c>
      <c r="AD393" s="3">
        <v>1</v>
      </c>
      <c r="AE393" s="5">
        <v>0</v>
      </c>
      <c r="AF393" s="5">
        <v>4</v>
      </c>
      <c r="AG393" s="5">
        <v>0</v>
      </c>
      <c r="AH393" s="5">
        <v>0.1</v>
      </c>
      <c r="AI393" s="5">
        <v>0</v>
      </c>
      <c r="AJ393" s="3">
        <v>696</v>
      </c>
      <c r="AK393" s="5" t="s">
        <v>653</v>
      </c>
      <c r="AL393" s="5">
        <v>0.4</v>
      </c>
      <c r="AM393" s="5">
        <v>0</v>
      </c>
      <c r="AN393" s="3">
        <v>1150</v>
      </c>
      <c r="AO393" s="5">
        <v>0</v>
      </c>
      <c r="AP393" s="5">
        <v>0</v>
      </c>
      <c r="AQ393" s="5" t="s">
        <v>653</v>
      </c>
      <c r="AR393" s="5">
        <v>0.8</v>
      </c>
      <c r="AS393" s="5">
        <v>0</v>
      </c>
      <c r="AT393" s="5">
        <v>902</v>
      </c>
    </row>
    <row r="394" spans="1:46">
      <c r="A394" s="12" t="str">
        <f>_xlfn.XLOOKUP(Table13[[#This Row],[SAP]],'Location List'!B:B,'Location List'!G:G)</f>
        <v>MO/IA/NE</v>
      </c>
      <c r="B394" s="12" t="str">
        <f>LEFT(Table13[[#This Row],[Sap: Loaction]],4)</f>
        <v>4ASN</v>
      </c>
      <c r="C394" s="13" t="str">
        <f>_xlfn.XLOOKUP(Table13[[#This Row],[Employee]],'Location List'!M:M,'Location List'!N:N,"",0)</f>
        <v/>
      </c>
      <c r="D394" t="s">
        <v>973</v>
      </c>
      <c r="E394" t="s">
        <v>911</v>
      </c>
      <c r="F394" t="s">
        <v>544</v>
      </c>
      <c r="G394" s="3">
        <v>5</v>
      </c>
      <c r="H394" s="3">
        <v>1408</v>
      </c>
      <c r="I394">
        <v>994.2</v>
      </c>
      <c r="J394" t="s">
        <v>454</v>
      </c>
      <c r="K394" s="6">
        <v>-23.21</v>
      </c>
      <c r="L394" s="6">
        <v>40</v>
      </c>
      <c r="M394" s="5">
        <v>-0.58025000000000004</v>
      </c>
      <c r="N394" s="3">
        <v>1402</v>
      </c>
      <c r="O394" s="10">
        <v>0</v>
      </c>
      <c r="P394" s="10">
        <v>49</v>
      </c>
      <c r="Q394" s="5">
        <v>0</v>
      </c>
      <c r="R394" s="5">
        <v>0.19</v>
      </c>
      <c r="S394" s="5">
        <v>0</v>
      </c>
      <c r="T394" s="3">
        <v>1332</v>
      </c>
      <c r="U394" s="10">
        <v>1</v>
      </c>
      <c r="V394" s="10">
        <v>49</v>
      </c>
      <c r="W394" s="5">
        <v>2.0408163265306121E-2</v>
      </c>
      <c r="X394" s="5">
        <v>0.05</v>
      </c>
      <c r="Y394" s="5">
        <v>0.40816000000000002</v>
      </c>
      <c r="Z394" s="3">
        <v>647</v>
      </c>
      <c r="AA394" s="11">
        <v>0</v>
      </c>
      <c r="AB394" s="3">
        <v>1357</v>
      </c>
      <c r="AC394">
        <v>0</v>
      </c>
      <c r="AD394" s="3">
        <v>75</v>
      </c>
      <c r="AE394" s="5">
        <v>0</v>
      </c>
      <c r="AF394" s="5">
        <v>2</v>
      </c>
      <c r="AG394" s="5">
        <v>0</v>
      </c>
      <c r="AH394" s="5">
        <v>0.1</v>
      </c>
      <c r="AI394" s="5">
        <v>0</v>
      </c>
      <c r="AJ394" s="3">
        <v>696</v>
      </c>
      <c r="AK394" s="5" t="s">
        <v>653</v>
      </c>
      <c r="AL394" s="5">
        <v>0.4</v>
      </c>
      <c r="AM394" s="5">
        <v>0</v>
      </c>
      <c r="AN394" s="3">
        <v>1150</v>
      </c>
      <c r="AO394" s="5">
        <v>0</v>
      </c>
      <c r="AP394" s="5">
        <v>0</v>
      </c>
      <c r="AQ394" s="5" t="s">
        <v>653</v>
      </c>
      <c r="AR394" s="5">
        <v>0.8</v>
      </c>
      <c r="AS394" s="5">
        <v>0</v>
      </c>
      <c r="AT394" s="5">
        <v>902</v>
      </c>
    </row>
    <row r="395" spans="1:46" hidden="1">
      <c r="A395" s="12" t="str">
        <f>_xlfn.XLOOKUP(Table13[[#This Row],[SAP]],'Location List'!B:B,'Location List'!G:G)</f>
        <v>KS/OK</v>
      </c>
      <c r="B395" s="12" t="str">
        <f>LEFT(Table13[[#This Row],[Sap: Loaction]],4)</f>
        <v>4789</v>
      </c>
      <c r="C395" s="13" t="str">
        <f>_xlfn.XLOOKUP(Table13[[#This Row],[Employee]],'Location List'!M:M,'Location List'!N:N,"",0)</f>
        <v>RSM</v>
      </c>
      <c r="D395" t="s">
        <v>973</v>
      </c>
      <c r="E395" t="s">
        <v>968</v>
      </c>
      <c r="F395" t="s">
        <v>501</v>
      </c>
      <c r="G395" s="3">
        <v>5</v>
      </c>
      <c r="H395" s="3">
        <v>1411</v>
      </c>
      <c r="I395">
        <v>998.45</v>
      </c>
      <c r="J395" t="s">
        <v>454</v>
      </c>
      <c r="K395" s="6">
        <v>0.54</v>
      </c>
      <c r="L395" s="6">
        <v>40</v>
      </c>
      <c r="M395" s="5">
        <v>1.35E-2</v>
      </c>
      <c r="N395" s="3">
        <v>1199</v>
      </c>
      <c r="O395" s="10">
        <v>0</v>
      </c>
      <c r="P395" s="10">
        <v>12</v>
      </c>
      <c r="Q395" s="5">
        <v>0</v>
      </c>
      <c r="R395" s="5">
        <v>0.19</v>
      </c>
      <c r="S395" s="5">
        <v>0</v>
      </c>
      <c r="T395" s="3">
        <v>1332</v>
      </c>
      <c r="U395" s="10">
        <v>0</v>
      </c>
      <c r="V395" s="10">
        <v>12</v>
      </c>
      <c r="W395" s="5">
        <v>0</v>
      </c>
      <c r="X395" s="5">
        <v>0.05</v>
      </c>
      <c r="Y395" s="5">
        <v>0</v>
      </c>
      <c r="Z395" s="3">
        <v>994</v>
      </c>
      <c r="AA395" s="11">
        <v>0</v>
      </c>
      <c r="AB395" s="3">
        <v>1357</v>
      </c>
      <c r="AC395">
        <v>0</v>
      </c>
      <c r="AD395" s="3">
        <v>75</v>
      </c>
      <c r="AE395" s="5">
        <v>0</v>
      </c>
      <c r="AF395" s="5">
        <v>2</v>
      </c>
      <c r="AG395" s="5">
        <v>0</v>
      </c>
      <c r="AH395" s="5">
        <v>0.1</v>
      </c>
      <c r="AI395" s="5">
        <v>0</v>
      </c>
      <c r="AJ395" s="3">
        <v>696</v>
      </c>
      <c r="AK395" s="5" t="s">
        <v>653</v>
      </c>
      <c r="AL395" s="5">
        <v>0.4</v>
      </c>
      <c r="AM395" s="5">
        <v>0</v>
      </c>
      <c r="AN395" s="3">
        <v>1150</v>
      </c>
      <c r="AO395" s="5">
        <v>0</v>
      </c>
      <c r="AP395" s="5">
        <v>0</v>
      </c>
      <c r="AQ395" s="5" t="s">
        <v>653</v>
      </c>
      <c r="AR395" s="5">
        <v>0.8</v>
      </c>
      <c r="AS395" s="5">
        <v>0</v>
      </c>
      <c r="AT395" s="5">
        <v>902</v>
      </c>
    </row>
    <row r="396" spans="1:46" hidden="1">
      <c r="A396" s="12" t="str">
        <f>_xlfn.XLOOKUP(Table13[[#This Row],[SAP]],'Location List'!B:B,'Location List'!G:G)</f>
        <v>DFW NORTH</v>
      </c>
      <c r="B396" s="12" t="str">
        <f>LEFT(Table13[[#This Row],[Sap: Loaction]],4)</f>
        <v>1CSD</v>
      </c>
      <c r="C396" s="13" t="str">
        <f>_xlfn.XLOOKUP(Table13[[#This Row],[Employee]],'Location List'!M:M,'Location List'!N:N,"",0)</f>
        <v>RSM</v>
      </c>
      <c r="D396" t="s">
        <v>973</v>
      </c>
      <c r="E396" t="s">
        <v>784</v>
      </c>
      <c r="F396" t="s">
        <v>509</v>
      </c>
      <c r="G396" s="3">
        <v>5</v>
      </c>
      <c r="H396" s="3">
        <v>1413</v>
      </c>
      <c r="I396">
        <v>999.65</v>
      </c>
      <c r="J396" t="s">
        <v>454</v>
      </c>
      <c r="K396" s="6">
        <v>-1.33</v>
      </c>
      <c r="L396" s="6" t="s">
        <v>1001</v>
      </c>
      <c r="M396" s="5">
        <v>0</v>
      </c>
      <c r="N396" s="3">
        <v>1207</v>
      </c>
      <c r="O396" s="10">
        <v>0</v>
      </c>
      <c r="P396" s="10">
        <v>15</v>
      </c>
      <c r="Q396" s="5">
        <v>0</v>
      </c>
      <c r="R396" s="5">
        <v>0.19</v>
      </c>
      <c r="S396" s="5">
        <v>0</v>
      </c>
      <c r="T396" s="3">
        <v>1332</v>
      </c>
      <c r="U396" s="10">
        <v>0</v>
      </c>
      <c r="V396" s="10">
        <v>15</v>
      </c>
      <c r="W396" s="5">
        <v>0</v>
      </c>
      <c r="X396" s="5">
        <v>0.05</v>
      </c>
      <c r="Y396" s="5">
        <v>0</v>
      </c>
      <c r="Z396" s="3">
        <v>994</v>
      </c>
      <c r="AA396" s="11">
        <v>0</v>
      </c>
      <c r="AB396" s="3">
        <v>1357</v>
      </c>
      <c r="AC396">
        <v>0</v>
      </c>
      <c r="AD396" s="3">
        <v>75</v>
      </c>
      <c r="AE396" s="5">
        <v>0</v>
      </c>
      <c r="AF396" s="5">
        <v>1</v>
      </c>
      <c r="AG396" s="5">
        <v>0</v>
      </c>
      <c r="AH396" s="5">
        <v>0.1</v>
      </c>
      <c r="AI396" s="5">
        <v>0</v>
      </c>
      <c r="AJ396" s="3">
        <v>696</v>
      </c>
      <c r="AK396" s="5" t="s">
        <v>653</v>
      </c>
      <c r="AL396" s="5">
        <v>0.4</v>
      </c>
      <c r="AM396" s="5">
        <v>0</v>
      </c>
      <c r="AN396" s="3">
        <v>1150</v>
      </c>
      <c r="AO396" s="5">
        <v>0</v>
      </c>
      <c r="AP396" s="5">
        <v>0</v>
      </c>
      <c r="AQ396" s="5" t="s">
        <v>653</v>
      </c>
      <c r="AR396" s="5">
        <v>0.8</v>
      </c>
      <c r="AS396" s="5">
        <v>0</v>
      </c>
      <c r="AT396" s="5">
        <v>902</v>
      </c>
    </row>
    <row r="397" spans="1:46" hidden="1">
      <c r="A397" s="12" t="str">
        <f>_xlfn.XLOOKUP(Table13[[#This Row],[SAP]],'Location List'!B:B,'Location List'!G:G)</f>
        <v>KS/OK</v>
      </c>
      <c r="B397" s="12" t="str">
        <f>LEFT(Table13[[#This Row],[Sap: Loaction]],4)</f>
        <v>990F</v>
      </c>
      <c r="C397" s="13" t="str">
        <f>_xlfn.XLOOKUP(Table13[[#This Row],[Employee]],'Location List'!M:M,'Location List'!N:N,"",0)</f>
        <v>RSM</v>
      </c>
      <c r="D397" t="s">
        <v>973</v>
      </c>
      <c r="E397" t="s">
        <v>969</v>
      </c>
      <c r="F397" t="s">
        <v>522</v>
      </c>
      <c r="G397" s="3">
        <v>5</v>
      </c>
      <c r="H397" s="3">
        <v>1413</v>
      </c>
      <c r="I397">
        <v>999.65</v>
      </c>
      <c r="J397" t="s">
        <v>454</v>
      </c>
      <c r="K397" s="6">
        <v>0</v>
      </c>
      <c r="L397" s="6" t="s">
        <v>653</v>
      </c>
      <c r="M397" s="5">
        <v>0</v>
      </c>
      <c r="N397" s="3">
        <v>1207</v>
      </c>
      <c r="O397" s="10">
        <v>0</v>
      </c>
      <c r="P397" s="10">
        <v>39</v>
      </c>
      <c r="Q397" s="5">
        <v>0</v>
      </c>
      <c r="R397" s="5">
        <v>0.19</v>
      </c>
      <c r="S397" s="5">
        <v>0</v>
      </c>
      <c r="T397" s="3">
        <v>1332</v>
      </c>
      <c r="U397" s="10">
        <v>0</v>
      </c>
      <c r="V397" s="10">
        <v>39</v>
      </c>
      <c r="W397" s="5">
        <v>0</v>
      </c>
      <c r="X397" s="5">
        <v>0.05</v>
      </c>
      <c r="Y397" s="5">
        <v>0</v>
      </c>
      <c r="Z397" s="3">
        <v>994</v>
      </c>
      <c r="AA397" s="11">
        <v>0</v>
      </c>
      <c r="AB397" s="3">
        <v>1357</v>
      </c>
      <c r="AC397">
        <v>0</v>
      </c>
      <c r="AD397" s="3">
        <v>75</v>
      </c>
      <c r="AE397" s="5"/>
      <c r="AF397" s="5"/>
      <c r="AG397" s="5"/>
      <c r="AH397" s="5">
        <v>0.1</v>
      </c>
      <c r="AI397" s="5">
        <v>0</v>
      </c>
      <c r="AJ397" s="3">
        <v>696</v>
      </c>
      <c r="AK397" s="5"/>
      <c r="AL397" s="5">
        <v>0.4</v>
      </c>
      <c r="AM397" s="5">
        <v>0</v>
      </c>
      <c r="AN397" s="3">
        <v>1150</v>
      </c>
      <c r="AO397" s="5"/>
      <c r="AP397" s="5"/>
      <c r="AQ397" s="5"/>
      <c r="AR397" s="5">
        <v>0.8</v>
      </c>
      <c r="AS397" s="5">
        <v>0</v>
      </c>
      <c r="AT397" s="5">
        <v>902</v>
      </c>
    </row>
    <row r="398" spans="1:46">
      <c r="A398" s="12" t="str">
        <f>_xlfn.XLOOKUP(Table13[[#This Row],[SAP]],'Location List'!B:B,'Location List'!G:G)</f>
        <v>DFW NORTH</v>
      </c>
      <c r="B398" s="12" t="str">
        <f>LEFT(Table13[[#This Row],[Sap: Loaction]],4)</f>
        <v>1BSE</v>
      </c>
      <c r="C398" s="13" t="str">
        <f>_xlfn.XLOOKUP(Table13[[#This Row],[Employee]],'Location List'!M:M,'Location List'!N:N,"",0)</f>
        <v>RSM</v>
      </c>
      <c r="D398" t="s">
        <v>973</v>
      </c>
      <c r="E398" t="s">
        <v>945</v>
      </c>
      <c r="F398" t="s">
        <v>545</v>
      </c>
      <c r="G398" s="3">
        <v>5</v>
      </c>
      <c r="H398" s="3">
        <v>1428</v>
      </c>
      <c r="I398">
        <v>1007.15</v>
      </c>
      <c r="J398" t="s">
        <v>454</v>
      </c>
      <c r="K398" s="6">
        <v>-1.77</v>
      </c>
      <c r="L398" s="6">
        <v>40</v>
      </c>
      <c r="M398" s="5">
        <v>-4.4249999999999998E-2</v>
      </c>
      <c r="N398" s="3">
        <v>1257</v>
      </c>
      <c r="O398" s="10">
        <v>0</v>
      </c>
      <c r="P398" s="10">
        <v>25</v>
      </c>
      <c r="Q398" s="5">
        <v>0</v>
      </c>
      <c r="R398" s="5">
        <v>0.19</v>
      </c>
      <c r="S398" s="5">
        <v>0</v>
      </c>
      <c r="T398" s="3">
        <v>1332</v>
      </c>
      <c r="U398" s="10">
        <v>0</v>
      </c>
      <c r="V398" s="10">
        <v>25</v>
      </c>
      <c r="W398" s="5">
        <v>0</v>
      </c>
      <c r="X398" s="5">
        <v>0.05</v>
      </c>
      <c r="Y398" s="5">
        <v>0</v>
      </c>
      <c r="Z398" s="3">
        <v>994</v>
      </c>
      <c r="AA398" s="11">
        <v>0</v>
      </c>
      <c r="AB398" s="3">
        <v>1357</v>
      </c>
      <c r="AC398">
        <v>0</v>
      </c>
      <c r="AD398" s="3">
        <v>75</v>
      </c>
      <c r="AE398" s="5">
        <v>1</v>
      </c>
      <c r="AF398" s="5">
        <v>0</v>
      </c>
      <c r="AG398" s="5" t="s">
        <v>986</v>
      </c>
      <c r="AH398" s="5">
        <v>0.1</v>
      </c>
      <c r="AI398" s="5">
        <v>0</v>
      </c>
      <c r="AJ398" s="3">
        <v>696</v>
      </c>
      <c r="AK398" s="5"/>
      <c r="AL398" s="5">
        <v>0.4</v>
      </c>
      <c r="AM398" s="5">
        <v>0</v>
      </c>
      <c r="AN398" s="3">
        <v>1150</v>
      </c>
      <c r="AO398" s="5">
        <v>0</v>
      </c>
      <c r="AP398" s="5">
        <v>0</v>
      </c>
      <c r="AQ398" s="5" t="s">
        <v>653</v>
      </c>
      <c r="AR398" s="5">
        <v>0.8</v>
      </c>
      <c r="AS398" s="5">
        <v>0</v>
      </c>
      <c r="AT398" s="5">
        <v>902</v>
      </c>
    </row>
    <row r="399" spans="1:46" hidden="1">
      <c r="A399" s="12" t="str">
        <f>_xlfn.XLOOKUP(Table13[[#This Row],[SAP]],'Location List'!B:B,'Location List'!G:G)</f>
        <v>KS/OK</v>
      </c>
      <c r="B399" s="12" t="str">
        <f>LEFT(Table13[[#This Row],[Sap: Loaction]],4)</f>
        <v>966D</v>
      </c>
      <c r="C399" s="13" t="str">
        <f>_xlfn.XLOOKUP(Table13[[#This Row],[Employee]],'Location List'!M:M,'Location List'!N:N,"",0)</f>
        <v>RSM</v>
      </c>
      <c r="D399" t="s">
        <v>973</v>
      </c>
      <c r="E399" t="s">
        <v>962</v>
      </c>
      <c r="F399" t="s">
        <v>499</v>
      </c>
      <c r="G399" s="3">
        <v>5</v>
      </c>
      <c r="H399" s="3">
        <v>1434</v>
      </c>
      <c r="I399">
        <v>1019.15</v>
      </c>
      <c r="J399" t="s">
        <v>454</v>
      </c>
      <c r="K399" s="6">
        <v>-10.89</v>
      </c>
      <c r="L399" s="6">
        <v>40</v>
      </c>
      <c r="M399" s="5">
        <v>-0.27224999999999999</v>
      </c>
      <c r="N399" s="3">
        <v>1337</v>
      </c>
      <c r="O399" s="10">
        <v>0</v>
      </c>
      <c r="P399" s="10">
        <v>5</v>
      </c>
      <c r="Q399" s="5">
        <v>0</v>
      </c>
      <c r="R399" s="5">
        <v>0.19</v>
      </c>
      <c r="S399" s="5">
        <v>0</v>
      </c>
      <c r="T399" s="3">
        <v>1332</v>
      </c>
      <c r="U399" s="10">
        <v>0</v>
      </c>
      <c r="V399" s="10">
        <v>5</v>
      </c>
      <c r="W399" s="5">
        <v>0</v>
      </c>
      <c r="X399" s="5">
        <v>0.05</v>
      </c>
      <c r="Y399" s="5">
        <v>0</v>
      </c>
      <c r="Z399" s="3">
        <v>994</v>
      </c>
      <c r="AA399" s="11">
        <v>0</v>
      </c>
      <c r="AB399" s="3">
        <v>1357</v>
      </c>
      <c r="AC399">
        <v>0</v>
      </c>
      <c r="AD399" s="3">
        <v>75</v>
      </c>
      <c r="AE399" s="5">
        <v>0</v>
      </c>
      <c r="AF399" s="5">
        <v>0</v>
      </c>
      <c r="AG399" s="5" t="s">
        <v>653</v>
      </c>
      <c r="AH399" s="5">
        <v>0.1</v>
      </c>
      <c r="AI399" s="5">
        <v>0</v>
      </c>
      <c r="AJ399" s="3">
        <v>696</v>
      </c>
      <c r="AK399" s="5"/>
      <c r="AL399" s="5">
        <v>0.4</v>
      </c>
      <c r="AM399" s="5">
        <v>0</v>
      </c>
      <c r="AN399" s="3">
        <v>1150</v>
      </c>
      <c r="AO399" s="5"/>
      <c r="AP399" s="5"/>
      <c r="AQ399" s="5"/>
      <c r="AR399" s="5">
        <v>0.8</v>
      </c>
      <c r="AS399" s="5">
        <v>0</v>
      </c>
      <c r="AT399" s="5">
        <v>902</v>
      </c>
    </row>
    <row r="400" spans="1:46" hidden="1">
      <c r="A400" s="12" t="str">
        <f>_xlfn.XLOOKUP(Table13[[#This Row],[SAP]],'Location List'!B:B,'Location List'!G:G)</f>
        <v>MO/IA/NE</v>
      </c>
      <c r="B400" s="12" t="str">
        <f>LEFT(Table13[[#This Row],[Sap: Loaction]],4)</f>
        <v>3ISY</v>
      </c>
      <c r="C400" s="13" t="str">
        <f>_xlfn.XLOOKUP(Table13[[#This Row],[Employee]],'Location List'!M:M,'Location List'!N:N,"",0)</f>
        <v/>
      </c>
      <c r="D400" t="s">
        <v>973</v>
      </c>
      <c r="E400" t="s">
        <v>805</v>
      </c>
      <c r="F400" t="s">
        <v>527</v>
      </c>
      <c r="G400" s="3">
        <v>5</v>
      </c>
      <c r="H400" s="3">
        <v>1437</v>
      </c>
      <c r="I400">
        <v>1028.0999999999999</v>
      </c>
      <c r="J400" t="s">
        <v>454</v>
      </c>
      <c r="K400" s="6">
        <v>-40.840000000000003</v>
      </c>
      <c r="L400" s="6">
        <v>40.000000000000007</v>
      </c>
      <c r="M400" s="5">
        <v>-1.0209999999999999</v>
      </c>
      <c r="N400" s="3">
        <v>1436</v>
      </c>
      <c r="O400" s="10">
        <v>1</v>
      </c>
      <c r="P400" s="10">
        <v>77</v>
      </c>
      <c r="Q400" s="5">
        <v>1.2987012987012988E-2</v>
      </c>
      <c r="R400" s="5">
        <v>0.19</v>
      </c>
      <c r="S400" s="5">
        <v>6.8351999999999996E-2</v>
      </c>
      <c r="T400" s="3">
        <v>1322</v>
      </c>
      <c r="U400" s="10">
        <v>0</v>
      </c>
      <c r="V400" s="10">
        <v>77</v>
      </c>
      <c r="W400" s="5">
        <v>0</v>
      </c>
      <c r="X400" s="5">
        <v>0.05</v>
      </c>
      <c r="Y400" s="5">
        <v>0</v>
      </c>
      <c r="Z400" s="3">
        <v>994</v>
      </c>
      <c r="AA400" s="11">
        <v>0</v>
      </c>
      <c r="AB400" s="3">
        <v>1357</v>
      </c>
      <c r="AC400">
        <v>8</v>
      </c>
      <c r="AD400" s="3">
        <v>36</v>
      </c>
      <c r="AE400" s="5">
        <v>0</v>
      </c>
      <c r="AF400" s="5">
        <v>17</v>
      </c>
      <c r="AG400" s="5">
        <v>0</v>
      </c>
      <c r="AH400" s="5">
        <v>0.1</v>
      </c>
      <c r="AI400" s="5">
        <v>0</v>
      </c>
      <c r="AJ400" s="3">
        <v>696</v>
      </c>
      <c r="AK400" s="5">
        <v>0</v>
      </c>
      <c r="AL400" s="5">
        <v>0.4</v>
      </c>
      <c r="AM400" s="5">
        <v>0</v>
      </c>
      <c r="AN400" s="3">
        <v>1150</v>
      </c>
      <c r="AO400" s="5">
        <v>0</v>
      </c>
      <c r="AP400" s="5">
        <v>0</v>
      </c>
      <c r="AQ400" s="5" t="s">
        <v>653</v>
      </c>
      <c r="AR400" s="5">
        <v>0.8</v>
      </c>
      <c r="AS400" s="5">
        <v>0</v>
      </c>
      <c r="AT400" s="5">
        <v>902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M13" sqref="M13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971</v>
      </c>
      <c r="N1" t="s">
        <v>583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872</v>
      </c>
      <c r="N2" t="s">
        <v>971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896</v>
      </c>
      <c r="N3" t="s">
        <v>971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939</v>
      </c>
      <c r="N4" t="s">
        <v>971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834</v>
      </c>
      <c r="N5" t="s">
        <v>971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666</v>
      </c>
      <c r="N6" t="s">
        <v>971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644</v>
      </c>
      <c r="N7" t="s">
        <v>971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628</v>
      </c>
      <c r="N8" t="s">
        <v>971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875</v>
      </c>
      <c r="N9" t="s">
        <v>971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954</v>
      </c>
      <c r="N10" t="s">
        <v>971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731</v>
      </c>
      <c r="N11" t="s">
        <v>971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739</v>
      </c>
      <c r="N12" t="s">
        <v>971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689</v>
      </c>
      <c r="N13" t="s">
        <v>971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971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952</v>
      </c>
      <c r="N15" t="s">
        <v>971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942</v>
      </c>
      <c r="N16" t="s">
        <v>971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770</v>
      </c>
      <c r="N17" t="s">
        <v>971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963</v>
      </c>
      <c r="N18" t="s">
        <v>971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883</v>
      </c>
      <c r="N19" t="s">
        <v>971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771</v>
      </c>
      <c r="N20" t="s">
        <v>971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823</v>
      </c>
      <c r="N21" t="s">
        <v>971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944</v>
      </c>
      <c r="N22" t="s">
        <v>971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971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955</v>
      </c>
      <c r="N24" t="s">
        <v>971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895</v>
      </c>
      <c r="N25" t="s">
        <v>971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971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966</v>
      </c>
      <c r="N27" t="s">
        <v>971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932</v>
      </c>
      <c r="N28" t="s">
        <v>971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945</v>
      </c>
      <c r="N29" t="s">
        <v>971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971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957</v>
      </c>
      <c r="N31" t="s">
        <v>971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940</v>
      </c>
      <c r="N32" t="s">
        <v>971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784</v>
      </c>
      <c r="N33" t="s">
        <v>971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606</v>
      </c>
      <c r="N34" t="s">
        <v>971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851</v>
      </c>
      <c r="N35" t="s">
        <v>971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971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866</v>
      </c>
      <c r="N37" t="s">
        <v>971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971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971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965</v>
      </c>
      <c r="N40" t="s">
        <v>971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962</v>
      </c>
      <c r="N41" t="s">
        <v>971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971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971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960</v>
      </c>
      <c r="N44" t="s">
        <v>971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968</v>
      </c>
      <c r="N45" t="s">
        <v>971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971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926</v>
      </c>
      <c r="N47" t="s">
        <v>971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971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969</v>
      </c>
      <c r="N49" t="s">
        <v>971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894</v>
      </c>
      <c r="N50" t="s">
        <v>971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971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616</v>
      </c>
      <c r="N52" t="s">
        <v>971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794</v>
      </c>
      <c r="N53" t="s">
        <v>971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938</v>
      </c>
      <c r="N54" t="s">
        <v>971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929</v>
      </c>
      <c r="N55" t="s">
        <v>971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613</v>
      </c>
      <c r="N56" t="s">
        <v>971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971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964</v>
      </c>
      <c r="N58" t="s">
        <v>971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852</v>
      </c>
      <c r="N59" t="s">
        <v>971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745</v>
      </c>
      <c r="N60" t="s">
        <v>971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946</v>
      </c>
      <c r="N61" t="s">
        <v>971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N62" t="s">
        <v>971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N63" t="s">
        <v>971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971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N65" t="s">
        <v>971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N66" t="s">
        <v>971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N67" t="s">
        <v>971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971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N69" t="s">
        <v>971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N70" t="s">
        <v>971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N71" t="s">
        <v>971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891</v>
      </c>
      <c r="N72" t="s">
        <v>971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816</v>
      </c>
      <c r="N73" t="s">
        <v>971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917</v>
      </c>
      <c r="N74" t="s">
        <v>971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737</v>
      </c>
      <c r="N75" t="s">
        <v>971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850</v>
      </c>
      <c r="N76" t="s">
        <v>971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918</v>
      </c>
      <c r="N77" t="s">
        <v>971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619</v>
      </c>
      <c r="N78" t="s">
        <v>971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958</v>
      </c>
      <c r="N79" t="s">
        <v>971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971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971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892</v>
      </c>
      <c r="N82" t="s">
        <v>971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855</v>
      </c>
      <c r="N83" t="s">
        <v>971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920</v>
      </c>
      <c r="N84" t="s">
        <v>971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948</v>
      </c>
      <c r="N85" t="s">
        <v>971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953</v>
      </c>
      <c r="N86" t="s">
        <v>971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959</v>
      </c>
      <c r="N87" t="s">
        <v>971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669</v>
      </c>
      <c r="N88" t="s">
        <v>971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971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697</v>
      </c>
      <c r="N90" t="s">
        <v>971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807</v>
      </c>
      <c r="N91" t="s">
        <v>971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813</v>
      </c>
      <c r="N92" t="s">
        <v>971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802</v>
      </c>
      <c r="N93" t="s">
        <v>971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738</v>
      </c>
      <c r="N94" t="s">
        <v>971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C18" sqref="C18"/>
    </sheetView>
  </sheetViews>
  <sheetFormatPr baseColWidth="10" defaultRowHeight="16"/>
  <sheetData>
    <row r="1" spans="1:1">
      <c r="A1" s="9">
        <v>46270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2026-09-14T01:58:40Z</dcterms:modified>
</cp:coreProperties>
</file>
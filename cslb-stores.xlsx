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7759AFA0-A876-1941-8C88-8331A151FF6D}" xr6:coauthVersionLast="47" xr6:coauthVersionMax="47" xr10:uidLastSave="{00000000-0000-0000-0000-000000000000}"/>
  <bookViews>
    <workbookView xWindow="0" yWindow="640" windowWidth="34560" windowHeight="20040" xr2:uid="{45D12FAA-C494-9142-89A7-9A6A2808EC1C}"/>
  </bookViews>
  <sheets>
    <sheet name="Store" sheetId="4" r:id="rId1"/>
    <sheet name="Location List" sheetId="1" r:id="rId2"/>
    <sheet name="Date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4" l="1"/>
  <c r="A94" i="4" s="1"/>
  <c r="B93" i="4"/>
  <c r="A93" i="4" s="1"/>
  <c r="B92" i="4"/>
  <c r="A92" i="4" s="1"/>
  <c r="B91" i="4"/>
  <c r="A91" i="4" s="1"/>
  <c r="B90" i="4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 s="1"/>
  <c r="B81" i="4"/>
  <c r="A81" i="4" s="1"/>
  <c r="B80" i="4"/>
  <c r="A80" i="4" s="1"/>
  <c r="B79" i="4"/>
  <c r="A79" i="4" s="1"/>
  <c r="B78" i="4"/>
  <c r="A78" i="4" s="1"/>
  <c r="B77" i="4"/>
  <c r="A77" i="4" s="1"/>
  <c r="B76" i="4"/>
  <c r="A76" i="4" s="1"/>
  <c r="B75" i="4"/>
  <c r="A75" i="4" s="1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 s="1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 s="1"/>
  <c r="B59" i="4"/>
  <c r="A59" i="4" s="1"/>
  <c r="B58" i="4"/>
  <c r="A58" i="4" s="1"/>
  <c r="B57" i="4"/>
  <c r="A57" i="4" s="1"/>
  <c r="B56" i="4"/>
  <c r="A56" i="4" s="1"/>
  <c r="B55" i="4"/>
  <c r="A55" i="4" s="1"/>
  <c r="B54" i="4"/>
  <c r="A54" i="4" s="1"/>
  <c r="B53" i="4"/>
  <c r="A53" i="4" s="1"/>
  <c r="B52" i="4"/>
  <c r="A52" i="4" s="1"/>
  <c r="B51" i="4"/>
  <c r="A51" i="4" s="1"/>
  <c r="B50" i="4"/>
  <c r="A50" i="4" s="1"/>
  <c r="B49" i="4"/>
  <c r="A49" i="4" s="1"/>
  <c r="B48" i="4"/>
  <c r="A48" i="4" s="1"/>
  <c r="B47" i="4"/>
  <c r="A47" i="4" s="1"/>
  <c r="B46" i="4"/>
  <c r="A46" i="4" s="1"/>
  <c r="B45" i="4"/>
  <c r="A45" i="4" s="1"/>
  <c r="B44" i="4"/>
  <c r="A44" i="4" s="1"/>
  <c r="B43" i="4"/>
  <c r="A43" i="4" s="1"/>
  <c r="B42" i="4"/>
  <c r="A42" i="4" s="1"/>
  <c r="B41" i="4"/>
  <c r="A41" i="4" s="1"/>
  <c r="B40" i="4"/>
  <c r="A40" i="4" s="1"/>
  <c r="B39" i="4"/>
  <c r="A39" i="4" s="1"/>
  <c r="B38" i="4"/>
  <c r="A38" i="4" s="1"/>
  <c r="B37" i="4"/>
  <c r="A37" i="4" s="1"/>
  <c r="B36" i="4"/>
  <c r="A36" i="4" s="1"/>
  <c r="B35" i="4"/>
  <c r="A35" i="4" s="1"/>
  <c r="B34" i="4"/>
  <c r="A34" i="4" s="1"/>
  <c r="B33" i="4"/>
  <c r="A33" i="4" s="1"/>
  <c r="B32" i="4"/>
  <c r="A32" i="4" s="1"/>
  <c r="B31" i="4"/>
  <c r="A31" i="4" s="1"/>
  <c r="B30" i="4"/>
  <c r="A30" i="4" s="1"/>
  <c r="B29" i="4"/>
  <c r="A29" i="4" s="1"/>
  <c r="B28" i="4"/>
  <c r="A28" i="4" s="1"/>
  <c r="B27" i="4"/>
  <c r="A27" i="4" s="1"/>
  <c r="B26" i="4"/>
  <c r="A26" i="4" s="1"/>
  <c r="B25" i="4"/>
  <c r="A25" i="4" s="1"/>
  <c r="B24" i="4"/>
  <c r="A24" i="4" s="1"/>
  <c r="B23" i="4"/>
  <c r="A23" i="4" s="1"/>
  <c r="B22" i="4"/>
  <c r="A22" i="4" s="1"/>
  <c r="B21" i="4"/>
  <c r="A21" i="4" s="1"/>
  <c r="B20" i="4"/>
  <c r="A20" i="4" s="1"/>
  <c r="B19" i="4"/>
  <c r="A19" i="4" s="1"/>
  <c r="B18" i="4"/>
  <c r="A18" i="4" s="1"/>
  <c r="B17" i="4"/>
  <c r="A17" i="4" s="1"/>
  <c r="B16" i="4"/>
  <c r="A16" i="4" s="1"/>
  <c r="B15" i="4"/>
  <c r="A15" i="4" s="1"/>
  <c r="B14" i="4"/>
  <c r="A14" i="4" s="1"/>
  <c r="B13" i="4"/>
  <c r="A13" i="4" s="1"/>
  <c r="B12" i="4"/>
  <c r="A12" i="4" s="1"/>
  <c r="B11" i="4"/>
  <c r="A11" i="4" s="1"/>
  <c r="B10" i="4"/>
  <c r="A10" i="4" s="1"/>
  <c r="B9" i="4"/>
  <c r="A9" i="4" s="1"/>
  <c r="B8" i="4"/>
  <c r="A8" i="4" s="1"/>
  <c r="B7" i="4"/>
  <c r="A7" i="4" s="1"/>
  <c r="B6" i="4"/>
  <c r="A6" i="4" s="1"/>
  <c r="B5" i="4"/>
  <c r="A5" i="4" s="1"/>
  <c r="B4" i="4"/>
  <c r="A4" i="4" s="1"/>
  <c r="B3" i="4"/>
  <c r="A3" i="4" s="1"/>
  <c r="B2" i="4"/>
  <c r="A2" i="4" s="1"/>
</calcChain>
</file>

<file path=xl/sharedStrings.xml><?xml version="1.0" encoding="utf-8"?>
<sst xmlns="http://schemas.openxmlformats.org/spreadsheetml/2006/main" count="1497" uniqueCount="602">
  <si>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</si>
  <si>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</si>
  <si>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</si>
  <si>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</si>
  <si>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</si>
  <si>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</si>
  <si>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</si>
  <si>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</si>
  <si>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</si>
  <si>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</si>
  <si>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</si>
  <si>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</si>
  <si>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</si>
  <si>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</si>
  <si>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</si>
  <si>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</si>
  <si>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</si>
  <si>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</si>
  <si>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</si>
  <si>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</si>
  <si>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</si>
  <si>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</si>
  <si>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</si>
  <si>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</si>
  <si>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</si>
  <si>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</si>
  <si>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</si>
  <si>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</si>
  <si>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</si>
  <si>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</si>
  <si>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</si>
  <si>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</si>
  <si>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</si>
  <si>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</si>
  <si>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</si>
  <si>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</si>
  <si>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</si>
  <si>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</si>
  <si>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</si>
  <si>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</si>
  <si>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</si>
  <si>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</si>
  <si>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</si>
  <si>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</si>
  <si>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</si>
  <si>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</si>
  <si>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</si>
  <si>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</si>
  <si>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</si>
  <si>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</si>
  <si>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</si>
  <si>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</si>
  <si>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</si>
  <si>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</si>
  <si>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</si>
  <si>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</si>
  <si>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</si>
  <si>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</si>
  <si>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</si>
  <si>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</si>
  <si>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</si>
  <si>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</si>
  <si>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</si>
  <si>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</si>
  <si>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</si>
  <si>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</si>
  <si>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</si>
  <si>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</si>
  <si>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</si>
  <si>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</si>
  <si>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</si>
  <si>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</si>
  <si>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</si>
  <si>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</si>
  <si>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</si>
  <si>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</si>
  <si>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</si>
  <si>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</si>
  <si>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</si>
  <si>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</si>
  <si>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</si>
  <si>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</si>
  <si>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</si>
  <si>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</si>
  <si>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</si>
  <si>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</si>
  <si>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</si>
  <si>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</si>
  <si>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</si>
  <si>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</si>
  <si>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</si>
  <si>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</si>
  <si>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</si>
  <si>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</si>
  <si>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</si>
  <si>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</si>
  <si>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</si>
  <si>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</si>
  <si>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</si>
  <si>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</si>
  <si>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</si>
  <si>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</si>
  <si>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</si>
  <si>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</si>
  <si>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</si>
  <si>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</si>
  <si>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</si>
  <si>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</si>
  <si>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</si>
  <si>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</si>
  <si>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</si>
  <si>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</si>
  <si>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</si>
  <si>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</si>
  <si>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</si>
  <si>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</si>
  <si>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</si>
  <si>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</si>
  <si>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</si>
  <si>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</si>
  <si>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</si>
  <si>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</si>
  <si>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</si>
  <si>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</si>
  <si>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</si>
  <si>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</si>
  <si>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</si>
  <si>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</si>
  <si>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</si>
  <si>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</si>
  <si>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</si>
  <si>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</si>
  <si>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</si>
  <si>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</si>
  <si>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</si>
  <si>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</si>
  <si>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</si>
  <si>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</si>
  <si>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</si>
  <si>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</si>
  <si>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</si>
  <si>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</si>
  <si>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</si>
  <si>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</si>
  <si>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</si>
  <si>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</si>
  <si>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</si>
  <si>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</si>
  <si>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</si>
  <si>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</si>
  <si>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</si>
  <si>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</si>
  <si>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</si>
  <si>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</si>
  <si>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</si>
  <si>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</si>
  <si>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</si>
  <si>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</si>
  <si>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</si>
  <si>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</si>
  <si>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</si>
  <si>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</si>
  <si>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</si>
  <si>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</si>
  <si>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</si>
  <si>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</si>
  <si>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</si>
  <si>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</si>
  <si>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</si>
  <si>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</si>
  <si>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</si>
  <si>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</si>
  <si>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</si>
  <si>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</si>
  <si>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</si>
  <si>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2993 : Clifford &amp; Western Trade</t>
  </si>
  <si>
    <t>2993</t>
  </si>
  <si>
    <t>Clifford</t>
  </si>
  <si>
    <t>9400 Clifford Street, Suite 100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</si>
  <si>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</si>
  <si>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</si>
  <si>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</si>
  <si>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</si>
  <si>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</si>
  <si>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</si>
  <si>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</si>
  <si>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</si>
  <si>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</si>
  <si>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</si>
  <si>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</si>
  <si>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5742 : Riverside Pkwy &amp; Creek Tpke</t>
  </si>
  <si>
    <t>5742</t>
  </si>
  <si>
    <t>Riverside Pkwy</t>
  </si>
  <si>
    <t>9910 Riverside Pkwy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</si>
  <si>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</si>
  <si>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</si>
  <si>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</si>
  <si>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</si>
  <si>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</si>
  <si>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</si>
  <si>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</si>
  <si>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</si>
  <si>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</si>
  <si>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</si>
  <si>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</si>
  <si>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</si>
  <si>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</si>
  <si>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</si>
  <si>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</si>
  <si>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</si>
  <si>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</si>
  <si>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</si>
  <si>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</si>
  <si>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</si>
  <si>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</si>
  <si>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</si>
  <si>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</si>
  <si>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</si>
  <si>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</si>
  <si>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</si>
  <si>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</si>
  <si>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</si>
  <si>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</si>
  <si>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</si>
  <si>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</si>
  <si>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</si>
  <si>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</si>
  <si>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</si>
  <si>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</si>
  <si>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</si>
  <si>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</si>
  <si>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</si>
  <si>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</si>
  <si>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</si>
  <si>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</si>
  <si>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</si>
  <si>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</si>
  <si>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</si>
  <si>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</si>
  <si>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</si>
  <si>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</si>
  <si>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</si>
  <si>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</si>
  <si>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</si>
  <si>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</si>
  <si>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</si>
  <si>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</si>
  <si>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</si>
  <si>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</si>
  <si>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</si>
  <si>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</si>
  <si>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</si>
  <si>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</si>
  <si>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</si>
  <si>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</si>
  <si>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</si>
  <si>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</si>
  <si>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</si>
  <si>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</si>
  <si>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</si>
  <si>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</si>
  <si>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</si>
  <si>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</si>
  <si>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</si>
  <si>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</si>
  <si>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</si>
  <si>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</si>
  <si>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</si>
  <si>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</si>
  <si>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</si>
  <si>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</si>
  <si>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</si>
  <si>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</si>
  <si>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</si>
  <si>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</si>
  <si>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</si>
  <si>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</si>
  <si>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</si>
  <si>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</si>
  <si>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</si>
  <si>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</si>
  <si>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3ISH : 8th St SW &amp; 34th Ave SW</t>
  </si>
  <si>
    <t>3ISH</t>
  </si>
  <si>
    <t>Altoona</t>
  </si>
  <si>
    <t>3345 8th St SW, Suite B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</si>
  <si>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</si>
  <si>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</si>
  <si>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</si>
  <si>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</si>
  <si>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</si>
  <si>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</si>
  <si>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</si>
  <si>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</si>
  <si>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</si>
  <si>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</si>
  <si>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</si>
  <si>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</si>
  <si>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</si>
  <si>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</si>
  <si>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</si>
  <si>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</si>
  <si>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</si>
  <si>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</si>
  <si>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</si>
  <si>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</si>
  <si>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</si>
  <si>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</si>
  <si>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</si>
  <si>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</si>
  <si>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</si>
  <si>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</si>
  <si>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</si>
  <si>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</si>
  <si>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</si>
  <si>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</si>
  <si>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</si>
  <si>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</si>
  <si>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</si>
  <si>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</si>
  <si>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</si>
  <si>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</si>
  <si>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</si>
  <si>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</si>
  <si>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</si>
  <si>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</si>
  <si>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</si>
  <si>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</si>
  <si>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</si>
  <si>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</si>
  <si>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</si>
  <si>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</si>
  <si>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</si>
  <si>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</si>
  <si>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</si>
  <si>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</si>
  <si>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</si>
  <si>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</si>
  <si>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</si>
  <si>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</si>
  <si>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</si>
  <si>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</si>
  <si>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</si>
  <si>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</si>
  <si>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</si>
  <si>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</si>
  <si>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</si>
  <si>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</si>
  <si>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</si>
  <si>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</si>
  <si>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</si>
  <si>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</si>
  <si>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</si>
  <si>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</si>
  <si>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</si>
  <si>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</si>
  <si>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</si>
  <si>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</si>
  <si>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</si>
  <si>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</si>
  <si>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</si>
  <si>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</si>
  <si>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</si>
  <si>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</si>
  <si>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</si>
  <si>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</si>
  <si>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</si>
  <si>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</si>
  <si>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</si>
  <si>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</si>
  <si>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</si>
  <si>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</si>
  <si>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1ESU : The RIM</t>
  </si>
  <si>
    <t>1ESU</t>
  </si>
  <si>
    <t>La Cantera</t>
  </si>
  <si>
    <t>17503 La Cantera Pkwy, Suite 112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</si>
  <si>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</si>
  <si>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</si>
  <si>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</si>
  <si>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</si>
  <si>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</si>
  <si>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</si>
  <si>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</si>
  <si>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</si>
  <si>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</si>
  <si>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</si>
  <si>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</si>
  <si>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</si>
  <si>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</si>
  <si>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</si>
  <si>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</si>
  <si>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</si>
  <si>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</si>
  <si>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</si>
  <si>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</si>
  <si>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</si>
  <si>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</si>
  <si>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</si>
  <si>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</si>
  <si>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</si>
  <si>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</si>
  <si>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</si>
  <si>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</si>
  <si>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</si>
  <si>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</si>
  <si>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</si>
  <si>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</si>
  <si>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</si>
  <si>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</si>
  <si>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</si>
  <si>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</si>
  <si>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</si>
  <si>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</si>
  <si>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</si>
  <si>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</si>
  <si>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</si>
  <si>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</si>
  <si>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</si>
  <si>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</si>
  <si>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</si>
  <si>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</si>
  <si>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</si>
  <si>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</si>
  <si>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</si>
  <si>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</si>
  <si>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</si>
  <si>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</si>
  <si>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</si>
  <si>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</si>
  <si>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</si>
  <si>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</si>
  <si>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</si>
  <si>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</si>
  <si>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</si>
  <si>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</si>
  <si>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</si>
  <si>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</si>
  <si>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</si>
  <si>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</si>
  <si>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</si>
  <si>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</si>
  <si>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</si>
  <si>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</si>
  <si>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</si>
  <si>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</si>
  <si>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</si>
  <si>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</si>
  <si>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</si>
  <si>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</si>
  <si>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</si>
  <si>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</si>
  <si>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</si>
  <si>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</si>
  <si>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</si>
  <si>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</si>
  <si>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</si>
  <si>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</si>
  <si>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</si>
  <si>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</si>
  <si>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</si>
  <si>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</si>
  <si>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</si>
  <si>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</si>
  <si>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</si>
  <si>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</si>
  <si>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</si>
  <si>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</si>
  <si>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</si>
  <si>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</si>
  <si>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</si>
  <si>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</si>
  <si>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</si>
  <si>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</si>
  <si>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</si>
  <si>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</si>
  <si>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</si>
  <si>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</si>
  <si>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</si>
  <si>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</si>
  <si>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</si>
  <si>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</si>
  <si>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</si>
  <si>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</si>
  <si>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</si>
  <si>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</si>
  <si>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</si>
  <si>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</si>
  <si>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</si>
  <si>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</si>
  <si>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</si>
  <si>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</si>
  <si>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</si>
  <si>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</si>
  <si>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</si>
  <si>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</si>
  <si>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</si>
  <si>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</si>
  <si>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</si>
  <si>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</si>
  <si>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</si>
  <si>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</si>
  <si>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</si>
  <si>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</si>
  <si>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</si>
  <si>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</si>
  <si>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</si>
  <si>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08/2026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</si>
  <si>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</si>
  <si>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</si>
  <si>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</si>
  <si>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</si>
  <si>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</si>
  <si>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</si>
  <si>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</si>
  <si>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</si>
  <si>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</si>
  <si>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</si>
  <si>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687E: Peoria Ave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</si>
  <si>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</si>
  <si>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</si>
  <si>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</si>
  <si>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</si>
  <si>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</si>
  <si>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</si>
  <si>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1FSM: Round Rock</t>
  </si>
  <si>
    <t>1DSU: Bryan</t>
  </si>
  <si>
    <t>586D: Ardmore</t>
  </si>
  <si>
    <t>1FSH: Manor</t>
  </si>
  <si>
    <t>1CSD: Bedford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</si>
  <si>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</si>
  <si>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</si>
  <si>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</si>
  <si>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</si>
  <si>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</si>
  <si>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</si>
  <si>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</si>
  <si>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</si>
  <si>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</si>
  <si>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</si>
  <si>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</si>
  <si>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4320: Bartlesville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</si>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</sst>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2">
    <font>
      <sz val="12"/>
      <name val="Aptos Narrow"/>
    </font>
    <font>
      <sz val="12"/>
      <color theme="1"/>
      <name val="Aptos Narrow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42"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4" totalsRowShown="0">
  <autoFilter ref="A1:AP94" xr:uid="{30DB740C-87F1-EE4A-BB0C-BEFC90E92422}"/>
  <tableColumns count="42">
    <tableColumn id="1" xr3:uid="{B0493F91-5679-A948-94FA-8A73741D88E4}" name="District" dataDxfId="41">
      <calculatedColumnFormula>_xlfn.XLOOKUP(Table1[[#This Row],[SAP]],'Location List'!B:B,'Location List'!G:G)</calculatedColumnFormula>
    </tableColumn>
    <tableColumn id="2" xr3:uid="{615C575E-CDA8-5249-A7AF-70D7B002ACCA}" name="SAP" dataDxfId="40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39"/>
    <tableColumn id="6" xr3:uid="{A168D218-D14E-E547-B3B1-A2808F67BF89}" name="Overall Rank" dataDxfId="38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37"/>
    <tableColumn id="10" xr3:uid="{349F7BF2-356F-6348-BCC4-3B3C3AB4E00D}" name="GP Per Labor Hour Tgt" dataDxfId="36"/>
    <tableColumn id="11" xr3:uid="{6D684DE5-7137-5840-97C8-A4863C2FABE2}" name="GP Per Labor Hour %Tgt" dataDxfId="35"/>
    <tableColumn id="12" xr3:uid="{01775AEF-BD87-7A43-BAA8-F13144163089}" name="GP Per Labor Hour Rank" dataDxfId="34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33"/>
    <tableColumn id="16" xr3:uid="{8EB41998-EBB9-E044-9215-0BCF406BBFFB}" name="PP Act Attain Rank" dataDxfId="32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31"/>
    <tableColumn id="20" xr3:uid="{1A4AD9C4-FB16-704D-A94D-FF1A877BDAA0}" name="Rebiz Conv Target" dataDxfId="30"/>
    <tableColumn id="21" xr3:uid="{F2A3AC37-70AE-1F43-BD04-5BAB35B84325}" name="ReBiz Conv %Tgt" dataDxfId="29"/>
    <tableColumn id="22" xr3:uid="{3B169463-A998-094D-8F50-A2D360B78CAB}" name="ReBiz Conv Rank" dataDxfId="28"/>
    <tableColumn id="23" xr3:uid="{D4D05F28-A72F-394F-8F26-79425FF9EF2F}" name="Acc GP Pct Actual" dataDxfId="27"/>
    <tableColumn id="24" xr3:uid="{8296BA4E-3C04-1245-B57E-1FD32987A3C8}" name="Acc GP Pct Rank" dataDxfId="26"/>
    <tableColumn id="25" xr3:uid="{61C2A580-E640-634C-8BC6-F309EA32397E}" name="CSAT Actual"/>
    <tableColumn id="26" xr3:uid="{3EEAE444-B0C2-9B4D-8A36-2692524AF728}" name="CSAT Rank" dataDxfId="25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24"/>
    <tableColumn id="30" xr3:uid="{B89CC8CA-9794-544F-8D9F-2539B39AAF26}" name="Visa Priority Rate Tgt" dataDxfId="23"/>
    <tableColumn id="31" xr3:uid="{8784C1D1-2A00-8B47-99D3-3FC0DF5A52E8}" name="Visa Priority Rate %Tg" dataDxfId="22"/>
    <tableColumn id="32" xr3:uid="{74291987-9F37-944A-9D6E-840AC61C3684}" name="Visa Priority Rate Rank" dataDxfId="21"/>
    <tableColumn id="33" xr3:uid="{BDB0B596-1E32-B742-B2DC-8453C8A0C2A8}" name="Indexed P360 Attach Rate" dataDxfId="20"/>
    <tableColumn id="34" xr3:uid="{FAF8028F-EDCF-FD4F-8CB9-50472D2B4A6A}" name="P360 Attach Rate Tgt" dataDxfId="19"/>
    <tableColumn id="35" xr3:uid="{94E51D17-D033-D94C-9EC9-408C5416E4B5}" name="P360 Attach Rate %Tgt" dataDxfId="18"/>
    <tableColumn id="36" xr3:uid="{BD30D2C8-CAD0-F645-8B7D-6F1A4F94152E}" name="P360 Attach Rate Rank" dataDxfId="17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16"/>
    <tableColumn id="40" xr3:uid="{BABCBED6-E839-1C4E-BEA7-9ABD2F28AEF9}" name="Premium Mix Rate Tgt" dataDxfId="15"/>
    <tableColumn id="41" xr3:uid="{C548EB79-CE5F-7C4B-844C-127942052220}" name="Premium Mix Rate %Tgt" dataDxfId="14"/>
    <tableColumn id="42" xr3:uid="{1FA68684-EB6D-2E46-AB5A-783C10835526}" name="Premium Rate Plan Rank" dataDxfId="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L98" totalsRowShown="0" dataDxfId="12">
  <autoFilter ref="A1:L98" xr:uid="{00000000-0009-0000-0100-000002000000}"/>
  <tableColumns count="12">
    <tableColumn id="1" xr3:uid="{3FEB6CE3-5B7C-674A-A867-802311C44607}" name="AR Store Name" dataDxfId="11"/>
    <tableColumn id="2" xr3:uid="{50AA75CE-3BB3-D24B-A45F-347258F74836}" name="STORE CODE" dataDxfId="10"/>
    <tableColumn id="3" xr3:uid="{F3EC1DB5-C24C-9D44-BDCF-CDC8835FCE6C}" name="STORE NAME" dataDxfId="9"/>
    <tableColumn id="4" xr3:uid="{A1B2471F-CB7F-AB48-8DCE-A585A025C57E}" name="ADDRESS" dataDxfId="8"/>
    <tableColumn id="5" xr3:uid="{334D88FA-97D1-544E-9FD8-73E4B6049B4B}" name="CITY" dataDxfId="7"/>
    <tableColumn id="6" xr3:uid="{0F89ADE6-F38B-164A-BBF6-895032C31100}" name="STATE" dataDxfId="6"/>
    <tableColumn id="7" xr3:uid="{1F215A0E-6220-7245-8614-DC0C46252518}" name="DISTRICT" dataDxfId="5"/>
    <tableColumn id="8" xr3:uid="{AB2DD164-D502-7943-BC2D-A887C60C00B3}" name="REGION" dataDxfId="4"/>
    <tableColumn id="9" xr3:uid="{997E2F5A-3DCC-594D-8DEC-4A4C5520ADB2}" name="AREA" dataDxfId="3"/>
    <tableColumn id="10" xr3:uid="{9A64CD2B-CAE2-6B40-9A1E-88A2AC3CD2BA}" name="DM" dataDxfId="2"/>
    <tableColumn id="11" xr3:uid="{4DB8EA52-15EB-B345-A378-2BE0CC933B51}" name="RVP" dataDxfId="1"/>
    <tableColumn id="12" xr3:uid="{24C75FC1-3071-9B4B-A2AC-1049CA9B97C4}" name="ADM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4"/>
  <sheetViews>
    <sheetView tabSelected="1" workbookViewId="0">
      <selection activeCell="O2" sqref="O2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506</v>
      </c>
      <c r="B1" s="4" t="s">
        <v>507</v>
      </c>
      <c r="C1" s="1" t="s">
        <v>466</v>
      </c>
      <c r="D1" s="1" t="s">
        <v>508</v>
      </c>
      <c r="E1" s="1" t="s">
        <v>467</v>
      </c>
      <c r="F1" s="1" t="s">
        <v>468</v>
      </c>
      <c r="G1" s="1" t="s">
        <v>469</v>
      </c>
      <c r="H1" s="1" t="s">
        <v>470</v>
      </c>
      <c r="I1" s="1" t="s">
        <v>471</v>
      </c>
      <c r="J1" s="1" t="s">
        <v>472</v>
      </c>
      <c r="K1" s="1" t="s">
        <v>473</v>
      </c>
      <c r="L1" s="1" t="s">
        <v>474</v>
      </c>
      <c r="M1" s="1" t="s">
        <v>475</v>
      </c>
      <c r="N1" s="1" t="s">
        <v>476</v>
      </c>
      <c r="O1" s="1" t="s">
        <v>477</v>
      </c>
      <c r="P1" s="1" t="s">
        <v>478</v>
      </c>
      <c r="Q1" s="1" t="s">
        <v>479</v>
      </c>
      <c r="R1" s="1" t="s">
        <v>480</v>
      </c>
      <c r="S1" s="1" t="s">
        <v>481</v>
      </c>
      <c r="T1" s="1" t="s">
        <v>482</v>
      </c>
      <c r="U1" s="1" t="s">
        <v>483</v>
      </c>
      <c r="V1" s="1" t="s">
        <v>484</v>
      </c>
      <c r="W1" s="1" t="s">
        <v>485</v>
      </c>
      <c r="X1" s="1" t="s">
        <v>486</v>
      </c>
      <c r="Y1" s="1" t="s">
        <v>487</v>
      </c>
      <c r="Z1" s="1" t="s">
        <v>488</v>
      </c>
      <c r="AA1" s="1" t="s">
        <v>489</v>
      </c>
      <c r="AB1" s="1" t="s">
        <v>490</v>
      </c>
      <c r="AC1" s="1" t="s">
        <v>491</v>
      </c>
      <c r="AD1" s="1" t="s">
        <v>492</v>
      </c>
      <c r="AE1" s="1" t="s">
        <v>493</v>
      </c>
      <c r="AF1" s="1" t="s">
        <v>494</v>
      </c>
      <c r="AG1" s="1" t="s">
        <v>495</v>
      </c>
      <c r="AH1" s="1" t="s">
        <v>496</v>
      </c>
      <c r="AI1" s="1" t="s">
        <v>497</v>
      </c>
      <c r="AJ1" s="1" t="s">
        <v>498</v>
      </c>
      <c r="AK1" s="1" t="s">
        <v>499</v>
      </c>
      <c r="AL1" s="1" t="s">
        <v>500</v>
      </c>
      <c r="AM1" s="1" t="s">
        <v>501</v>
      </c>
      <c r="AN1" s="1" t="s">
        <v>502</v>
      </c>
      <c r="AO1" s="1" t="s">
        <v>503</v>
      </c>
      <c r="AP1" s="1" t="s">
        <v>504</v>
      </c>
    </row>
    <row r="2" spans="1:42">
      <c r="A2" s="4" t="str">
        <f>_xlfn.XLOOKUP(Table1[[#This Row],[SAP]],'Location List'!B:B,'Location List'!G:G)</f>
        <v>MO/IA/NE</v>
      </c>
      <c r="B2" s="4" t="str">
        <f>LEFT(Table1[[#This Row],[Sap: Loaction]],4)</f>
        <v>4ASM</v>
      </c>
      <c r="C2" t="s">
        <v>505</v>
      </c>
      <c r="D2" t="s">
        <v>509</v>
      </c>
      <c r="E2" s="3">
        <v>1</v>
      </c>
      <c r="F2" s="3">
        <v>2</v>
      </c>
      <c r="G2">
        <v>59.6</v>
      </c>
      <c r="H2" t="s">
        <v>470</v>
      </c>
      <c r="I2" s="6">
        <v>66.770300000000006</v>
      </c>
      <c r="J2" s="6">
        <v>39.998981609057694</v>
      </c>
      <c r="K2" s="5">
        <v>1.6693</v>
      </c>
      <c r="L2" s="3">
        <v>18</v>
      </c>
      <c r="M2">
        <v>266</v>
      </c>
      <c r="N2">
        <v>141.50899999999999</v>
      </c>
      <c r="O2" s="5">
        <v>1.8796999999999999</v>
      </c>
      <c r="P2" s="3">
        <v>5</v>
      </c>
      <c r="Q2">
        <v>403</v>
      </c>
      <c r="R2">
        <v>1662</v>
      </c>
      <c r="S2" s="5">
        <v>0.24247894103489773</v>
      </c>
      <c r="T2" s="5">
        <v>0.24000687027110534</v>
      </c>
      <c r="U2" s="5">
        <v>1.0103</v>
      </c>
      <c r="V2" s="3">
        <v>49</v>
      </c>
      <c r="W2" s="5">
        <v>1.6482832645786869</v>
      </c>
      <c r="X2" s="3">
        <v>30</v>
      </c>
      <c r="Y2">
        <v>9.4924999999999997</v>
      </c>
      <c r="Z2" s="3">
        <v>63</v>
      </c>
      <c r="AA2">
        <v>19</v>
      </c>
      <c r="AB2">
        <v>251</v>
      </c>
      <c r="AC2" s="5">
        <v>7.5697211155378488E-2</v>
      </c>
      <c r="AD2" s="5">
        <v>0.1</v>
      </c>
      <c r="AE2" s="5">
        <v>0.75700000000000001</v>
      </c>
      <c r="AF2" s="3">
        <v>168</v>
      </c>
      <c r="AG2" s="5">
        <v>0.38877300000000004</v>
      </c>
      <c r="AH2" s="5">
        <v>0.4</v>
      </c>
      <c r="AI2" s="5">
        <v>0.97189999999999999</v>
      </c>
      <c r="AJ2" s="3">
        <v>69</v>
      </c>
      <c r="AK2">
        <v>52</v>
      </c>
      <c r="AL2">
        <v>57</v>
      </c>
      <c r="AM2" s="5">
        <v>0.91228070175438591</v>
      </c>
      <c r="AN2" s="5">
        <v>0.8</v>
      </c>
      <c r="AO2" s="5">
        <v>1.1404000000000001</v>
      </c>
      <c r="AP2" s="3">
        <v>74</v>
      </c>
    </row>
    <row r="3" spans="1:42">
      <c r="A3" s="4" t="str">
        <f>_xlfn.XLOOKUP(Table1[[#This Row],[SAP]],'Location List'!B:B,'Location List'!G:G)</f>
        <v>KS/OK</v>
      </c>
      <c r="B3" s="4" t="str">
        <f>LEFT(Table1[[#This Row],[Sap: Loaction]],4)</f>
        <v>4781</v>
      </c>
      <c r="C3" t="s">
        <v>505</v>
      </c>
      <c r="D3" t="s">
        <v>512</v>
      </c>
      <c r="E3" s="3">
        <v>1</v>
      </c>
      <c r="F3" s="3">
        <v>17</v>
      </c>
      <c r="G3">
        <v>86.8</v>
      </c>
      <c r="H3" t="s">
        <v>470</v>
      </c>
      <c r="I3" s="6">
        <v>48.023800000000001</v>
      </c>
      <c r="J3" s="6">
        <v>39.999833416625023</v>
      </c>
      <c r="K3" s="5">
        <v>1.2005999999999999</v>
      </c>
      <c r="L3" s="3">
        <v>96</v>
      </c>
      <c r="M3">
        <v>400</v>
      </c>
      <c r="N3">
        <v>256.77699999999999</v>
      </c>
      <c r="O3" s="5">
        <v>1.5578000000000001</v>
      </c>
      <c r="P3" s="3">
        <v>24</v>
      </c>
      <c r="Q3">
        <v>479</v>
      </c>
      <c r="R3">
        <v>1589</v>
      </c>
      <c r="S3" s="5">
        <v>0.30144745122718691</v>
      </c>
      <c r="T3" s="5">
        <v>0.24000593250572205</v>
      </c>
      <c r="U3" s="5">
        <v>1.256</v>
      </c>
      <c r="V3" s="3">
        <v>8</v>
      </c>
      <c r="W3" s="5">
        <v>1.2046951183410979</v>
      </c>
      <c r="X3" s="3">
        <v>148</v>
      </c>
      <c r="Y3">
        <v>8.9850999999999992</v>
      </c>
      <c r="Z3" s="3">
        <v>183</v>
      </c>
      <c r="AA3">
        <v>16</v>
      </c>
      <c r="AB3">
        <v>215</v>
      </c>
      <c r="AC3" s="5">
        <v>7.441860465116279E-2</v>
      </c>
      <c r="AD3" s="5">
        <v>0.1</v>
      </c>
      <c r="AE3" s="5">
        <v>0.74419999999999997</v>
      </c>
      <c r="AF3" s="3">
        <v>174</v>
      </c>
      <c r="AG3" s="5">
        <v>0.4201456666666667</v>
      </c>
      <c r="AH3" s="5">
        <v>0.4</v>
      </c>
      <c r="AI3" s="5">
        <v>1.0504</v>
      </c>
      <c r="AJ3" s="3">
        <v>38</v>
      </c>
      <c r="AK3">
        <v>39</v>
      </c>
      <c r="AL3">
        <v>41</v>
      </c>
      <c r="AM3" s="5">
        <v>0.95121951219512191</v>
      </c>
      <c r="AN3" s="5">
        <v>0.8</v>
      </c>
      <c r="AO3" s="5">
        <v>1.1890000000000001</v>
      </c>
      <c r="AP3" s="3">
        <v>46</v>
      </c>
    </row>
    <row r="4" spans="1:42">
      <c r="A4" s="4" t="str">
        <f>_xlfn.XLOOKUP(Table1[[#This Row],[SAP]],'Location List'!B:B,'Location List'!G:G)</f>
        <v>SOUTH TX/RGV</v>
      </c>
      <c r="B4" s="4" t="str">
        <f>LEFT(Table1[[#This Row],[Sap: Loaction]],4)</f>
        <v>2584</v>
      </c>
      <c r="C4" t="s">
        <v>505</v>
      </c>
      <c r="D4" t="s">
        <v>515</v>
      </c>
      <c r="E4" s="3">
        <v>1</v>
      </c>
      <c r="F4" s="3">
        <v>21</v>
      </c>
      <c r="G4">
        <v>90.2</v>
      </c>
      <c r="H4" t="s">
        <v>470</v>
      </c>
      <c r="I4" s="6">
        <v>51.982700000000001</v>
      </c>
      <c r="J4" s="6">
        <v>39.998999692212983</v>
      </c>
      <c r="K4" s="5">
        <v>1.2996000000000001</v>
      </c>
      <c r="L4" s="3">
        <v>62</v>
      </c>
      <c r="M4">
        <v>358</v>
      </c>
      <c r="N4">
        <v>215.44200000000001</v>
      </c>
      <c r="O4" s="5">
        <v>1.6617</v>
      </c>
      <c r="P4" s="3">
        <v>15</v>
      </c>
      <c r="Q4">
        <v>472</v>
      </c>
      <c r="R4">
        <v>2185</v>
      </c>
      <c r="S4" s="5">
        <v>0.21601830663615559</v>
      </c>
      <c r="T4" s="5">
        <v>0.23999367474297922</v>
      </c>
      <c r="U4" s="5">
        <v>0.90010000000000001</v>
      </c>
      <c r="V4" s="3">
        <v>92</v>
      </c>
      <c r="W4" s="5">
        <v>1.3414373805408641</v>
      </c>
      <c r="X4" s="3">
        <v>96</v>
      </c>
      <c r="Y4">
        <v>9.4499999999999993</v>
      </c>
      <c r="Z4" s="3">
        <v>71</v>
      </c>
      <c r="AA4">
        <v>54</v>
      </c>
      <c r="AB4">
        <v>378</v>
      </c>
      <c r="AC4" s="5">
        <v>0.14285714285714285</v>
      </c>
      <c r="AD4" s="5">
        <v>0.1</v>
      </c>
      <c r="AE4" s="5">
        <v>1.4286000000000001</v>
      </c>
      <c r="AF4" s="3">
        <v>53</v>
      </c>
      <c r="AG4" s="5">
        <v>0.38807400000000003</v>
      </c>
      <c r="AH4" s="5">
        <v>0.4</v>
      </c>
      <c r="AI4" s="5">
        <v>0.97019999999999995</v>
      </c>
      <c r="AJ4" s="3">
        <v>72</v>
      </c>
      <c r="AK4">
        <v>27</v>
      </c>
      <c r="AL4">
        <v>58</v>
      </c>
      <c r="AM4" s="5">
        <v>0.46551724137931033</v>
      </c>
      <c r="AN4" s="5">
        <v>0.8</v>
      </c>
      <c r="AO4" s="5">
        <v>0.58189999999999997</v>
      </c>
      <c r="AP4" s="3">
        <v>330</v>
      </c>
    </row>
    <row r="5" spans="1:42">
      <c r="A5" s="4" t="str">
        <f>_xlfn.XLOOKUP(Table1[[#This Row],[SAP]],'Location List'!B:B,'Location List'!G:G)</f>
        <v>KS/OK</v>
      </c>
      <c r="B5" s="4" t="str">
        <f>LEFT(Table1[[#This Row],[Sap: Loaction]],4)</f>
        <v>966D</v>
      </c>
      <c r="C5" t="s">
        <v>505</v>
      </c>
      <c r="D5" t="s">
        <v>517</v>
      </c>
      <c r="E5" s="3">
        <v>1</v>
      </c>
      <c r="F5" s="3">
        <v>30</v>
      </c>
      <c r="G5">
        <v>98.55</v>
      </c>
      <c r="H5" t="s">
        <v>470</v>
      </c>
      <c r="I5" s="6">
        <v>58.616100000000003</v>
      </c>
      <c r="J5" s="6">
        <v>40.000068240753379</v>
      </c>
      <c r="K5" s="5">
        <v>1.4654</v>
      </c>
      <c r="L5" s="3">
        <v>33</v>
      </c>
      <c r="M5">
        <v>265</v>
      </c>
      <c r="N5">
        <v>204.31</v>
      </c>
      <c r="O5" s="5">
        <v>1.2969999999999999</v>
      </c>
      <c r="P5" s="3">
        <v>66</v>
      </c>
      <c r="Q5">
        <v>372</v>
      </c>
      <c r="R5">
        <v>1640</v>
      </c>
      <c r="S5" s="5">
        <v>0.22682926829268293</v>
      </c>
      <c r="T5" s="5">
        <v>0.24000557432301653</v>
      </c>
      <c r="U5" s="5">
        <v>0.94510000000000005</v>
      </c>
      <c r="V5" s="3">
        <v>72</v>
      </c>
      <c r="W5" s="5">
        <v>2.1304544155986069</v>
      </c>
      <c r="X5" s="3">
        <v>7</v>
      </c>
      <c r="Y5">
        <v>9.4038000000000004</v>
      </c>
      <c r="Z5" s="3">
        <v>84</v>
      </c>
      <c r="AA5">
        <v>23</v>
      </c>
      <c r="AB5">
        <v>250</v>
      </c>
      <c r="AC5" s="5">
        <v>9.1999999999999998E-2</v>
      </c>
      <c r="AD5" s="5">
        <v>0.1</v>
      </c>
      <c r="AE5" s="5">
        <v>0.92</v>
      </c>
      <c r="AF5" s="3">
        <v>124</v>
      </c>
      <c r="AG5" s="5">
        <v>0.28798266666666666</v>
      </c>
      <c r="AH5" s="5">
        <v>0.4</v>
      </c>
      <c r="AI5" s="5">
        <v>0.72</v>
      </c>
      <c r="AJ5" s="3">
        <v>204</v>
      </c>
      <c r="AK5">
        <v>26</v>
      </c>
      <c r="AL5">
        <v>38</v>
      </c>
      <c r="AM5" s="5">
        <v>0.68421052631578949</v>
      </c>
      <c r="AN5" s="5">
        <v>0.8</v>
      </c>
      <c r="AO5" s="5">
        <v>0.85529999999999995</v>
      </c>
      <c r="AP5" s="3">
        <v>248</v>
      </c>
    </row>
    <row r="6" spans="1:42">
      <c r="A6" s="4" t="str">
        <f>_xlfn.XLOOKUP(Table1[[#This Row],[SAP]],'Location List'!B:B,'Location List'!G:G)</f>
        <v>SA SOUTH</v>
      </c>
      <c r="B6" s="4" t="str">
        <f>LEFT(Table1[[#This Row],[Sap: Loaction]],4)</f>
        <v>1627</v>
      </c>
      <c r="C6" t="s">
        <v>505</v>
      </c>
      <c r="D6" t="s">
        <v>514</v>
      </c>
      <c r="E6" s="3">
        <v>1</v>
      </c>
      <c r="F6" s="3">
        <v>39</v>
      </c>
      <c r="G6">
        <v>106.8</v>
      </c>
      <c r="H6" t="s">
        <v>470</v>
      </c>
      <c r="I6" s="6">
        <v>47.229599999999998</v>
      </c>
      <c r="J6" s="6">
        <v>40.001355128313705</v>
      </c>
      <c r="K6" s="5">
        <v>1.1807000000000001</v>
      </c>
      <c r="L6" s="3">
        <v>104</v>
      </c>
      <c r="M6">
        <v>264</v>
      </c>
      <c r="N6">
        <v>222.59299999999999</v>
      </c>
      <c r="O6" s="5">
        <v>1.1859999999999999</v>
      </c>
      <c r="P6" s="3">
        <v>98</v>
      </c>
      <c r="Q6">
        <v>419</v>
      </c>
      <c r="R6">
        <v>1710</v>
      </c>
      <c r="S6" s="5">
        <v>0.24502923976608187</v>
      </c>
      <c r="T6" s="5">
        <v>0.23998946108333194</v>
      </c>
      <c r="U6" s="5">
        <v>1.0209999999999999</v>
      </c>
      <c r="V6" s="3">
        <v>44</v>
      </c>
      <c r="W6" s="5">
        <v>1.286356478914463</v>
      </c>
      <c r="X6" s="3">
        <v>114</v>
      </c>
      <c r="Y6">
        <v>9.5111000000000008</v>
      </c>
      <c r="Z6" s="3">
        <v>61</v>
      </c>
      <c r="AA6">
        <v>8</v>
      </c>
      <c r="AB6">
        <v>109</v>
      </c>
      <c r="AC6" s="5">
        <v>7.3394495412844041E-2</v>
      </c>
      <c r="AD6" s="5">
        <v>0.1</v>
      </c>
      <c r="AE6" s="5">
        <v>0.7339</v>
      </c>
      <c r="AF6" s="3">
        <v>178</v>
      </c>
      <c r="AG6" s="5">
        <v>0.36959199999999998</v>
      </c>
      <c r="AH6" s="5">
        <v>0.4</v>
      </c>
      <c r="AI6" s="5">
        <v>0.92400000000000004</v>
      </c>
      <c r="AJ6" s="3">
        <v>86</v>
      </c>
      <c r="AK6">
        <v>39</v>
      </c>
      <c r="AL6">
        <v>50</v>
      </c>
      <c r="AM6" s="5">
        <v>0.78</v>
      </c>
      <c r="AN6" s="5">
        <v>0.8</v>
      </c>
      <c r="AO6" s="5">
        <v>0.97499999999999998</v>
      </c>
      <c r="AP6" s="3">
        <v>171</v>
      </c>
    </row>
    <row r="7" spans="1:42">
      <c r="A7" s="4" t="str">
        <f>_xlfn.XLOOKUP(Table1[[#This Row],[SAP]],'Location List'!B:B,'Location List'!G:G)</f>
        <v>MO/IA/NE</v>
      </c>
      <c r="B7" s="4" t="str">
        <f>LEFT(Table1[[#This Row],[Sap: Loaction]],4)</f>
        <v>3ISR</v>
      </c>
      <c r="C7" t="s">
        <v>505</v>
      </c>
      <c r="D7" t="s">
        <v>510</v>
      </c>
      <c r="E7" s="3">
        <v>1</v>
      </c>
      <c r="F7" s="3">
        <v>52</v>
      </c>
      <c r="G7">
        <v>114.85</v>
      </c>
      <c r="H7" t="s">
        <v>470</v>
      </c>
      <c r="I7" s="6">
        <v>56.111400000000003</v>
      </c>
      <c r="J7" s="6">
        <v>39.99957228400342</v>
      </c>
      <c r="K7" s="5">
        <v>1.4028</v>
      </c>
      <c r="L7" s="3">
        <v>43</v>
      </c>
      <c r="M7">
        <v>207</v>
      </c>
      <c r="N7">
        <v>216.233</v>
      </c>
      <c r="O7" s="5">
        <v>0.95730000000000004</v>
      </c>
      <c r="P7" s="3">
        <v>198</v>
      </c>
      <c r="Q7">
        <v>303</v>
      </c>
      <c r="R7">
        <v>1554</v>
      </c>
      <c r="S7" s="5">
        <v>0.19498069498069498</v>
      </c>
      <c r="T7" s="5">
        <v>0.24000577914905832</v>
      </c>
      <c r="U7" s="5">
        <v>0.81240000000000001</v>
      </c>
      <c r="V7" s="3">
        <v>135</v>
      </c>
      <c r="W7" s="5">
        <v>1.451068398512219</v>
      </c>
      <c r="X7" s="3">
        <v>60</v>
      </c>
      <c r="Y7">
        <v>9.1723999999999997</v>
      </c>
      <c r="Z7" s="3">
        <v>138</v>
      </c>
      <c r="AA7">
        <v>18</v>
      </c>
      <c r="AB7">
        <v>199</v>
      </c>
      <c r="AC7" s="5">
        <v>9.0452261306532666E-2</v>
      </c>
      <c r="AD7" s="5">
        <v>0.1</v>
      </c>
      <c r="AE7" s="5">
        <v>0.90449999999999997</v>
      </c>
      <c r="AF7" s="3">
        <v>129</v>
      </c>
      <c r="AG7" s="5">
        <v>0.38899400000000001</v>
      </c>
      <c r="AH7" s="5">
        <v>0.4</v>
      </c>
      <c r="AI7" s="5">
        <v>0.97250000000000003</v>
      </c>
      <c r="AJ7" s="3">
        <v>68</v>
      </c>
      <c r="AK7">
        <v>27</v>
      </c>
      <c r="AL7">
        <v>32</v>
      </c>
      <c r="AM7" s="5">
        <v>0.84375</v>
      </c>
      <c r="AN7" s="5">
        <v>0.8</v>
      </c>
      <c r="AO7" s="5">
        <v>1.0547</v>
      </c>
      <c r="AP7" s="3">
        <v>125</v>
      </c>
    </row>
    <row r="8" spans="1:42">
      <c r="A8" s="4" t="str">
        <f>_xlfn.XLOOKUP(Table1[[#This Row],[SAP]],'Location List'!B:B,'Location List'!G:G)</f>
        <v>KS/OK</v>
      </c>
      <c r="B8" s="4" t="str">
        <f>LEFT(Table1[[#This Row],[Sap: Loaction]],4)</f>
        <v>5280</v>
      </c>
      <c r="C8" t="s">
        <v>505</v>
      </c>
      <c r="D8" t="s">
        <v>511</v>
      </c>
      <c r="E8" s="3">
        <v>1</v>
      </c>
      <c r="F8" s="3">
        <v>54</v>
      </c>
      <c r="G8">
        <v>116.95</v>
      </c>
      <c r="H8" t="s">
        <v>470</v>
      </c>
      <c r="I8" s="6">
        <v>58.596400000000003</v>
      </c>
      <c r="J8" s="6">
        <v>40.000273056181307</v>
      </c>
      <c r="K8" s="5">
        <v>1.4649000000000001</v>
      </c>
      <c r="L8" s="3">
        <v>34</v>
      </c>
      <c r="M8">
        <v>247</v>
      </c>
      <c r="N8">
        <v>109.709</v>
      </c>
      <c r="O8" s="5">
        <v>2.2513999999999998</v>
      </c>
      <c r="P8" s="3">
        <v>1</v>
      </c>
      <c r="Q8">
        <v>309</v>
      </c>
      <c r="R8">
        <v>1418</v>
      </c>
      <c r="S8" s="5">
        <v>0.21791255289139633</v>
      </c>
      <c r="T8" s="5">
        <v>0.2399917983385422</v>
      </c>
      <c r="U8" s="5">
        <v>0.90800000000000003</v>
      </c>
      <c r="V8" s="3">
        <v>90</v>
      </c>
      <c r="W8" s="5">
        <v>1.9273676423514536</v>
      </c>
      <c r="X8" s="3">
        <v>10</v>
      </c>
      <c r="Y8">
        <v>8.1555999999999997</v>
      </c>
      <c r="Z8" s="3">
        <v>306</v>
      </c>
      <c r="AA8">
        <v>7</v>
      </c>
      <c r="AB8">
        <v>225</v>
      </c>
      <c r="AC8" s="5">
        <v>3.111111111111111E-2</v>
      </c>
      <c r="AD8" s="5">
        <v>0.1</v>
      </c>
      <c r="AE8" s="5">
        <v>0.31109999999999999</v>
      </c>
      <c r="AF8" s="3">
        <v>282</v>
      </c>
      <c r="AG8" s="5">
        <v>0.33967966666666666</v>
      </c>
      <c r="AH8" s="5">
        <v>0.4</v>
      </c>
      <c r="AI8" s="5">
        <v>0.84919999999999995</v>
      </c>
      <c r="AJ8" s="3">
        <v>124</v>
      </c>
      <c r="AK8">
        <v>41</v>
      </c>
      <c r="AL8">
        <v>48</v>
      </c>
      <c r="AM8" s="5">
        <v>0.85416666666666663</v>
      </c>
      <c r="AN8" s="5">
        <v>0.8</v>
      </c>
      <c r="AO8" s="5">
        <v>1.0677000000000001</v>
      </c>
      <c r="AP8" s="3">
        <v>119</v>
      </c>
    </row>
    <row r="9" spans="1:42">
      <c r="A9" s="4" t="str">
        <f>_xlfn.XLOOKUP(Table1[[#This Row],[SAP]],'Location List'!B:B,'Location List'!G:G)</f>
        <v>CENTRAL TEXAS</v>
      </c>
      <c r="B9" s="4" t="str">
        <f>LEFT(Table1[[#This Row],[Sap: Loaction]],4)</f>
        <v>545D</v>
      </c>
      <c r="C9" t="s">
        <v>505</v>
      </c>
      <c r="D9" t="s">
        <v>513</v>
      </c>
      <c r="E9" s="3">
        <v>1</v>
      </c>
      <c r="F9" s="3">
        <v>61</v>
      </c>
      <c r="G9">
        <v>119.05</v>
      </c>
      <c r="H9" t="s">
        <v>470</v>
      </c>
      <c r="I9" s="6">
        <v>47.532400000000003</v>
      </c>
      <c r="J9" s="6">
        <v>34.999190044915693</v>
      </c>
      <c r="K9" s="5">
        <v>1.3581000000000001</v>
      </c>
      <c r="L9" s="3">
        <v>50</v>
      </c>
      <c r="M9">
        <v>97</v>
      </c>
      <c r="N9">
        <v>80.292000000000002</v>
      </c>
      <c r="O9" s="5">
        <v>1.2081</v>
      </c>
      <c r="P9" s="3">
        <v>90</v>
      </c>
      <c r="Q9">
        <v>149</v>
      </c>
      <c r="R9">
        <v>843</v>
      </c>
      <c r="S9" s="5">
        <v>0.17674970344009491</v>
      </c>
      <c r="T9" s="5">
        <v>0.23998601960637461</v>
      </c>
      <c r="U9" s="5">
        <v>0.73650000000000004</v>
      </c>
      <c r="V9" s="3">
        <v>188</v>
      </c>
      <c r="W9" s="5">
        <v>1.4771857126764423</v>
      </c>
      <c r="X9" s="3">
        <v>57</v>
      </c>
      <c r="Y9">
        <v>9.4762000000000004</v>
      </c>
      <c r="Z9" s="3">
        <v>65</v>
      </c>
      <c r="AA9">
        <v>10</v>
      </c>
      <c r="AB9">
        <v>154</v>
      </c>
      <c r="AC9" s="5">
        <v>6.4935064935064929E-2</v>
      </c>
      <c r="AD9" s="5">
        <v>0.1</v>
      </c>
      <c r="AE9" s="5">
        <v>0.64939999999999998</v>
      </c>
      <c r="AF9" s="3">
        <v>195</v>
      </c>
      <c r="AG9" s="5">
        <v>0.31651999999999997</v>
      </c>
      <c r="AH9" s="5">
        <v>0.4</v>
      </c>
      <c r="AI9" s="5">
        <v>0.7913</v>
      </c>
      <c r="AJ9" s="3">
        <v>162</v>
      </c>
      <c r="AK9">
        <v>22</v>
      </c>
      <c r="AL9">
        <v>26</v>
      </c>
      <c r="AM9" s="5">
        <v>0.84615384615384615</v>
      </c>
      <c r="AN9" s="5">
        <v>0.8</v>
      </c>
      <c r="AO9" s="5">
        <v>1.0577000000000001</v>
      </c>
      <c r="AP9" s="3">
        <v>122</v>
      </c>
    </row>
    <row r="10" spans="1:42">
      <c r="A10" s="4" t="str">
        <f>_xlfn.XLOOKUP(Table1[[#This Row],[SAP]],'Location List'!B:B,'Location List'!G:G)</f>
        <v>KS/OK</v>
      </c>
      <c r="B10" s="4" t="str">
        <f>LEFT(Table1[[#This Row],[Sap: Loaction]],4)</f>
        <v>687E</v>
      </c>
      <c r="C10" t="s">
        <v>505</v>
      </c>
      <c r="D10" t="s">
        <v>516</v>
      </c>
      <c r="E10" s="3">
        <v>1</v>
      </c>
      <c r="F10" s="3">
        <v>65</v>
      </c>
      <c r="G10">
        <v>121.35</v>
      </c>
      <c r="H10" t="s">
        <v>470</v>
      </c>
      <c r="I10" s="6">
        <v>45.839300000000001</v>
      </c>
      <c r="J10" s="6">
        <v>39.999389179755674</v>
      </c>
      <c r="K10" s="5">
        <v>1.1459999999999999</v>
      </c>
      <c r="L10" s="3">
        <v>115</v>
      </c>
      <c r="M10">
        <v>251</v>
      </c>
      <c r="N10">
        <v>176.48699999999999</v>
      </c>
      <c r="O10" s="5">
        <v>1.4221999999999999</v>
      </c>
      <c r="P10" s="3">
        <v>41</v>
      </c>
      <c r="Q10">
        <v>352</v>
      </c>
      <c r="R10">
        <v>1758</v>
      </c>
      <c r="S10" s="5">
        <v>0.20022753128555176</v>
      </c>
      <c r="T10" s="5">
        <v>0.23999464375590526</v>
      </c>
      <c r="U10" s="5">
        <v>0.83430000000000004</v>
      </c>
      <c r="V10" s="3">
        <v>125</v>
      </c>
      <c r="W10" s="5">
        <v>1.1384177957666777</v>
      </c>
      <c r="X10" s="3">
        <v>169</v>
      </c>
      <c r="Y10">
        <v>8.9298000000000002</v>
      </c>
      <c r="Z10" s="3">
        <v>193</v>
      </c>
      <c r="AA10">
        <v>37</v>
      </c>
      <c r="AB10">
        <v>272</v>
      </c>
      <c r="AC10" s="5">
        <v>0.13602941176470587</v>
      </c>
      <c r="AD10" s="5">
        <v>0.1</v>
      </c>
      <c r="AE10" s="5">
        <v>1.3603000000000001</v>
      </c>
      <c r="AF10" s="3">
        <v>60</v>
      </c>
      <c r="AG10" s="5">
        <v>0.26397500000000002</v>
      </c>
      <c r="AH10" s="5">
        <v>0.4</v>
      </c>
      <c r="AI10" s="5">
        <v>0.65990000000000004</v>
      </c>
      <c r="AJ10" s="3">
        <v>227</v>
      </c>
      <c r="AK10">
        <v>31</v>
      </c>
      <c r="AL10">
        <v>36</v>
      </c>
      <c r="AM10" s="5">
        <v>0.86111111111111116</v>
      </c>
      <c r="AN10" s="5">
        <v>0.8</v>
      </c>
      <c r="AO10" s="5">
        <v>1.0764</v>
      </c>
      <c r="AP10" s="3">
        <v>113</v>
      </c>
    </row>
    <row r="11" spans="1:42">
      <c r="A11" s="4" t="str">
        <f>_xlfn.XLOOKUP(Table1[[#This Row],[SAP]],'Location List'!B:B,'Location List'!G:G)</f>
        <v>KS/OK</v>
      </c>
      <c r="B11" s="4" t="str">
        <f>LEFT(Table1[[#This Row],[Sap: Loaction]],4)</f>
        <v>586D</v>
      </c>
      <c r="C11" t="s">
        <v>505</v>
      </c>
      <c r="D11" t="s">
        <v>525</v>
      </c>
      <c r="E11" s="3">
        <v>1</v>
      </c>
      <c r="F11" s="3">
        <v>68</v>
      </c>
      <c r="G11">
        <v>124</v>
      </c>
      <c r="H11" t="s">
        <v>470</v>
      </c>
      <c r="I11" s="6">
        <v>56.788699999999999</v>
      </c>
      <c r="J11" s="6">
        <v>40.00049306191449</v>
      </c>
      <c r="K11" s="5">
        <v>1.4197</v>
      </c>
      <c r="L11" s="3">
        <v>38</v>
      </c>
      <c r="M11">
        <v>221</v>
      </c>
      <c r="N11">
        <v>139.11799999999999</v>
      </c>
      <c r="O11" s="5">
        <v>1.5886</v>
      </c>
      <c r="P11" s="3">
        <v>19</v>
      </c>
      <c r="Q11">
        <v>305</v>
      </c>
      <c r="R11">
        <v>1679</v>
      </c>
      <c r="S11" s="5">
        <v>0.18165574746873139</v>
      </c>
      <c r="T11" s="5">
        <v>0.23999966636111955</v>
      </c>
      <c r="U11" s="5">
        <v>0.75690000000000002</v>
      </c>
      <c r="V11" s="3">
        <v>170</v>
      </c>
      <c r="W11" s="5">
        <v>1.3848192712903111</v>
      </c>
      <c r="X11" s="3">
        <v>84</v>
      </c>
      <c r="Y11">
        <v>9.1667000000000005</v>
      </c>
      <c r="Z11" s="3">
        <v>139</v>
      </c>
      <c r="AA11">
        <v>9</v>
      </c>
      <c r="AB11">
        <v>129</v>
      </c>
      <c r="AC11" s="5">
        <v>6.9767441860465115E-2</v>
      </c>
      <c r="AD11" s="5">
        <v>0.1</v>
      </c>
      <c r="AE11" s="5">
        <v>0.69769999999999999</v>
      </c>
      <c r="AF11" s="3">
        <v>187</v>
      </c>
      <c r="AG11" s="5">
        <v>0.24617933333333333</v>
      </c>
      <c r="AH11" s="5">
        <v>0.4</v>
      </c>
      <c r="AI11" s="5">
        <v>0.61539999999999995</v>
      </c>
      <c r="AJ11" s="3">
        <v>252</v>
      </c>
      <c r="AK11">
        <v>9</v>
      </c>
      <c r="AL11">
        <v>11</v>
      </c>
      <c r="AM11" s="5">
        <v>0.81818181818181823</v>
      </c>
      <c r="AN11" s="5">
        <v>0.8</v>
      </c>
      <c r="AO11" s="5">
        <v>1.0226999999999999</v>
      </c>
      <c r="AP11" s="3">
        <v>144</v>
      </c>
    </row>
    <row r="12" spans="1:42">
      <c r="A12" s="4" t="str">
        <f>_xlfn.XLOOKUP(Table1[[#This Row],[SAP]],'Location List'!B:B,'Location List'!G:G)</f>
        <v>CENTRAL TEXAS</v>
      </c>
      <c r="B12" s="4" t="str">
        <f>LEFT(Table1[[#This Row],[Sap: Loaction]],4)</f>
        <v>1FSH</v>
      </c>
      <c r="C12" t="s">
        <v>505</v>
      </c>
      <c r="D12" t="s">
        <v>526</v>
      </c>
      <c r="E12" s="3">
        <v>2</v>
      </c>
      <c r="F12" s="3">
        <v>79</v>
      </c>
      <c r="G12">
        <v>133.44999999999999</v>
      </c>
      <c r="H12" t="s">
        <v>470</v>
      </c>
      <c r="I12" s="6">
        <v>49.384999999999998</v>
      </c>
      <c r="J12" s="6">
        <v>40.000809978940552</v>
      </c>
      <c r="K12" s="5">
        <v>1.2345999999999999</v>
      </c>
      <c r="L12" s="3">
        <v>79</v>
      </c>
      <c r="M12">
        <v>208</v>
      </c>
      <c r="N12">
        <v>205.10400000000001</v>
      </c>
      <c r="O12" s="5">
        <v>1.0141</v>
      </c>
      <c r="P12" s="3">
        <v>173</v>
      </c>
      <c r="Q12">
        <v>317</v>
      </c>
      <c r="R12">
        <v>1559</v>
      </c>
      <c r="S12" s="5">
        <v>0.20333547145606157</v>
      </c>
      <c r="T12" s="5">
        <v>0.2400088189991284</v>
      </c>
      <c r="U12" s="5">
        <v>0.84719999999999995</v>
      </c>
      <c r="V12" s="3">
        <v>118</v>
      </c>
      <c r="W12" s="5">
        <v>0.9286022148965235</v>
      </c>
      <c r="X12" s="3">
        <v>257</v>
      </c>
      <c r="Y12">
        <v>8.6922999999999995</v>
      </c>
      <c r="Z12" s="3">
        <v>242</v>
      </c>
      <c r="AA12">
        <v>37</v>
      </c>
      <c r="AB12">
        <v>174</v>
      </c>
      <c r="AC12" s="5">
        <v>0.21264367816091953</v>
      </c>
      <c r="AD12" s="5">
        <v>0.1</v>
      </c>
      <c r="AE12" s="5">
        <v>2.1263999999999998</v>
      </c>
      <c r="AF12" s="3">
        <v>23</v>
      </c>
      <c r="AG12" s="5">
        <v>0.34988200000000003</v>
      </c>
      <c r="AH12" s="5">
        <v>0.4</v>
      </c>
      <c r="AI12" s="5">
        <v>0.87470000000000003</v>
      </c>
      <c r="AJ12" s="3">
        <v>112</v>
      </c>
      <c r="AK12">
        <v>41</v>
      </c>
      <c r="AL12">
        <v>49</v>
      </c>
      <c r="AM12" s="5">
        <v>0.83673469387755106</v>
      </c>
      <c r="AN12" s="5">
        <v>0.8</v>
      </c>
      <c r="AO12" s="5">
        <v>1.0459000000000001</v>
      </c>
      <c r="AP12" s="3">
        <v>134</v>
      </c>
    </row>
    <row r="13" spans="1:42">
      <c r="A13" s="4" t="str">
        <f>_xlfn.XLOOKUP(Table1[[#This Row],[SAP]],'Location List'!B:B,'Location List'!G:G)</f>
        <v>CENTRAL TEXAS</v>
      </c>
      <c r="B13" s="4" t="str">
        <f>LEFT(Table1[[#This Row],[Sap: Loaction]],4)</f>
        <v>1FSM</v>
      </c>
      <c r="C13" t="s">
        <v>505</v>
      </c>
      <c r="D13" t="s">
        <v>523</v>
      </c>
      <c r="E13" s="3">
        <v>2</v>
      </c>
      <c r="F13" s="3">
        <v>86</v>
      </c>
      <c r="G13">
        <v>136.25</v>
      </c>
      <c r="H13" t="s">
        <v>470</v>
      </c>
      <c r="I13" s="6">
        <v>31.646100000000001</v>
      </c>
      <c r="J13" s="6">
        <v>34.999004644990045</v>
      </c>
      <c r="K13" s="5">
        <v>0.9042</v>
      </c>
      <c r="L13" s="3">
        <v>221</v>
      </c>
      <c r="M13">
        <v>119</v>
      </c>
      <c r="N13">
        <v>127.193</v>
      </c>
      <c r="O13" s="5">
        <v>0.93559999999999999</v>
      </c>
      <c r="P13" s="3">
        <v>205</v>
      </c>
      <c r="Q13">
        <v>198</v>
      </c>
      <c r="R13">
        <v>1210</v>
      </c>
      <c r="S13" s="5">
        <v>0.16363636363636364</v>
      </c>
      <c r="T13" s="5">
        <v>0.24000640017067124</v>
      </c>
      <c r="U13" s="5">
        <v>0.68179999999999996</v>
      </c>
      <c r="V13" s="3">
        <v>231</v>
      </c>
      <c r="W13" s="5">
        <v>1.3958018893026702</v>
      </c>
      <c r="X13" s="3">
        <v>81</v>
      </c>
      <c r="Y13">
        <v>9.3234999999999992</v>
      </c>
      <c r="Z13" s="3">
        <v>99</v>
      </c>
      <c r="AA13">
        <v>44</v>
      </c>
      <c r="AB13">
        <v>175</v>
      </c>
      <c r="AC13" s="5">
        <v>0.25142857142857145</v>
      </c>
      <c r="AD13" s="5">
        <v>0.1</v>
      </c>
      <c r="AE13" s="5">
        <v>2.5143</v>
      </c>
      <c r="AF13" s="3">
        <v>16</v>
      </c>
      <c r="AG13" s="5">
        <v>0.34565599999999996</v>
      </c>
      <c r="AH13" s="5">
        <v>0.4</v>
      </c>
      <c r="AI13" s="5">
        <v>0.86409999999999998</v>
      </c>
      <c r="AJ13" s="3">
        <v>118</v>
      </c>
      <c r="AK13">
        <v>46</v>
      </c>
      <c r="AL13">
        <v>49</v>
      </c>
      <c r="AM13" s="5">
        <v>0.93877551020408168</v>
      </c>
      <c r="AN13" s="5">
        <v>0.8</v>
      </c>
      <c r="AO13" s="5">
        <v>1.1735</v>
      </c>
      <c r="AP13" s="3">
        <v>55</v>
      </c>
    </row>
    <row r="14" spans="1:42">
      <c r="A14" s="4" t="str">
        <f>_xlfn.XLOOKUP(Table1[[#This Row],[SAP]],'Location List'!B:B,'Location List'!G:G)</f>
        <v>KS/OK</v>
      </c>
      <c r="B14" s="4" t="str">
        <f>LEFT(Table1[[#This Row],[Sap: Loaction]],4)</f>
        <v>4789</v>
      </c>
      <c r="C14" t="s">
        <v>505</v>
      </c>
      <c r="D14" t="s">
        <v>519</v>
      </c>
      <c r="E14" s="3">
        <v>2</v>
      </c>
      <c r="F14" s="3">
        <v>98</v>
      </c>
      <c r="G14">
        <v>143.6</v>
      </c>
      <c r="H14" t="s">
        <v>470</v>
      </c>
      <c r="I14" s="6">
        <v>42.484699999999997</v>
      </c>
      <c r="J14" s="6">
        <v>40.000659071650496</v>
      </c>
      <c r="K14" s="5">
        <v>1.0621</v>
      </c>
      <c r="L14" s="3">
        <v>151</v>
      </c>
      <c r="M14">
        <v>240</v>
      </c>
      <c r="N14">
        <v>235.31100000000001</v>
      </c>
      <c r="O14" s="5">
        <v>1.0199</v>
      </c>
      <c r="P14" s="3">
        <v>169</v>
      </c>
      <c r="Q14">
        <v>327</v>
      </c>
      <c r="R14">
        <v>1630</v>
      </c>
      <c r="S14" s="5">
        <v>0.20061349693251534</v>
      </c>
      <c r="T14" s="5">
        <v>0.23999700554194922</v>
      </c>
      <c r="U14" s="5">
        <v>0.83589999999999998</v>
      </c>
      <c r="V14" s="3">
        <v>122</v>
      </c>
      <c r="W14" s="5">
        <v>1.0780797991658135</v>
      </c>
      <c r="X14" s="3">
        <v>197</v>
      </c>
      <c r="Y14">
        <v>9.0869999999999997</v>
      </c>
      <c r="Z14" s="3">
        <v>161</v>
      </c>
      <c r="AA14">
        <v>46</v>
      </c>
      <c r="AB14">
        <v>217</v>
      </c>
      <c r="AC14" s="5">
        <v>0.2119815668202765</v>
      </c>
      <c r="AD14" s="5">
        <v>0.1</v>
      </c>
      <c r="AE14" s="5">
        <v>2.1198000000000001</v>
      </c>
      <c r="AF14" s="3">
        <v>24</v>
      </c>
      <c r="AG14" s="5">
        <v>0.31447766666666666</v>
      </c>
      <c r="AH14" s="5">
        <v>0.4</v>
      </c>
      <c r="AI14" s="5">
        <v>0.78620000000000001</v>
      </c>
      <c r="AJ14" s="3">
        <v>166</v>
      </c>
      <c r="AK14">
        <v>30</v>
      </c>
      <c r="AL14">
        <v>42</v>
      </c>
      <c r="AM14" s="5">
        <v>0.7142857142857143</v>
      </c>
      <c r="AN14" s="5">
        <v>0.8</v>
      </c>
      <c r="AO14" s="5">
        <v>0.89290000000000003</v>
      </c>
      <c r="AP14" s="3">
        <v>213</v>
      </c>
    </row>
    <row r="15" spans="1:42">
      <c r="A15" s="4" t="str">
        <f>_xlfn.XLOOKUP(Table1[[#This Row],[SAP]],'Location List'!B:B,'Location List'!G:G)</f>
        <v>KS/OK</v>
      </c>
      <c r="B15" s="4" t="str">
        <f>LEFT(Table1[[#This Row],[Sap: Loaction]],4)</f>
        <v>407D</v>
      </c>
      <c r="C15" t="s">
        <v>505</v>
      </c>
      <c r="D15" t="s">
        <v>575</v>
      </c>
      <c r="E15" s="3">
        <v>2</v>
      </c>
      <c r="F15" s="3">
        <v>102</v>
      </c>
      <c r="G15">
        <v>143.9</v>
      </c>
      <c r="H15" t="s">
        <v>470</v>
      </c>
      <c r="I15" s="6">
        <v>47.009500000000003</v>
      </c>
      <c r="J15" s="6">
        <v>40.001276378488768</v>
      </c>
      <c r="K15" s="5">
        <v>1.1752</v>
      </c>
      <c r="L15" s="3">
        <v>107</v>
      </c>
      <c r="M15">
        <v>229</v>
      </c>
      <c r="N15">
        <v>203.51499999999999</v>
      </c>
      <c r="O15" s="5">
        <v>1.1252</v>
      </c>
      <c r="P15" s="3">
        <v>132</v>
      </c>
      <c r="Q15">
        <v>318</v>
      </c>
      <c r="R15">
        <v>1969</v>
      </c>
      <c r="S15" s="5">
        <v>0.16150330116810563</v>
      </c>
      <c r="T15" s="5">
        <v>0.24001085030183625</v>
      </c>
      <c r="U15" s="5">
        <v>0.67290000000000005</v>
      </c>
      <c r="V15" s="3">
        <v>238</v>
      </c>
      <c r="W15" s="5">
        <v>1.2671343103232919</v>
      </c>
      <c r="X15" s="3">
        <v>128</v>
      </c>
      <c r="Y15">
        <v>9.5138999999999996</v>
      </c>
      <c r="Z15" s="3">
        <v>59</v>
      </c>
      <c r="AA15">
        <v>16</v>
      </c>
      <c r="AB15">
        <v>291</v>
      </c>
      <c r="AC15" s="5">
        <v>5.4982817869415807E-2</v>
      </c>
      <c r="AD15" s="5">
        <v>0.1</v>
      </c>
      <c r="AE15" s="5">
        <v>0.54979999999999996</v>
      </c>
      <c r="AF15" s="3">
        <v>217</v>
      </c>
      <c r="AG15" s="5">
        <v>0.41159033333333334</v>
      </c>
      <c r="AH15" s="5">
        <v>0.4</v>
      </c>
      <c r="AI15" s="5">
        <v>1.0289999999999999</v>
      </c>
      <c r="AJ15" s="3">
        <v>44</v>
      </c>
      <c r="AK15">
        <v>30</v>
      </c>
      <c r="AL15">
        <v>38</v>
      </c>
      <c r="AM15" s="5">
        <v>0.78947368421052633</v>
      </c>
      <c r="AN15" s="5">
        <v>0.8</v>
      </c>
      <c r="AO15" s="5">
        <v>0.98680000000000001</v>
      </c>
      <c r="AP15" s="3">
        <v>167</v>
      </c>
    </row>
    <row r="16" spans="1:42">
      <c r="A16" s="4" t="str">
        <f>_xlfn.XLOOKUP(Table1[[#This Row],[SAP]],'Location List'!B:B,'Location List'!G:G)</f>
        <v>SA/HILL COUNTRY</v>
      </c>
      <c r="B16" s="4" t="str">
        <f>LEFT(Table1[[#This Row],[Sap: Loaction]],4)</f>
        <v>569D</v>
      </c>
      <c r="C16" t="s">
        <v>505</v>
      </c>
      <c r="D16" t="s">
        <v>531</v>
      </c>
      <c r="E16" s="3">
        <v>2</v>
      </c>
      <c r="F16" s="3">
        <v>105</v>
      </c>
      <c r="G16">
        <v>144.9</v>
      </c>
      <c r="H16" t="s">
        <v>470</v>
      </c>
      <c r="I16" s="6">
        <v>29.291499999999999</v>
      </c>
      <c r="J16" s="6">
        <v>35</v>
      </c>
      <c r="K16" s="5">
        <v>0.83689999999999998</v>
      </c>
      <c r="L16" s="3">
        <v>260</v>
      </c>
      <c r="M16">
        <v>74</v>
      </c>
      <c r="N16">
        <v>76.320999999999998</v>
      </c>
      <c r="O16" s="5">
        <v>0.96960000000000002</v>
      </c>
      <c r="P16" s="3">
        <v>190</v>
      </c>
      <c r="Q16">
        <v>140</v>
      </c>
      <c r="R16">
        <v>814</v>
      </c>
      <c r="S16" s="5">
        <v>0.171990171990172</v>
      </c>
      <c r="T16" s="5">
        <v>0.24000861288050795</v>
      </c>
      <c r="U16" s="5">
        <v>0.71660000000000001</v>
      </c>
      <c r="V16" s="3">
        <v>205</v>
      </c>
      <c r="W16" s="5">
        <v>1.3800879465530689</v>
      </c>
      <c r="X16" s="3">
        <v>85</v>
      </c>
      <c r="Y16">
        <v>8.9285999999999994</v>
      </c>
      <c r="Z16" s="3">
        <v>194</v>
      </c>
      <c r="AA16">
        <v>23</v>
      </c>
      <c r="AB16">
        <v>191</v>
      </c>
      <c r="AC16" s="5">
        <v>0.12041884816753927</v>
      </c>
      <c r="AD16" s="5">
        <v>0.1</v>
      </c>
      <c r="AE16" s="5">
        <v>1.2041999999999999</v>
      </c>
      <c r="AF16" s="3">
        <v>77</v>
      </c>
      <c r="AG16" s="5">
        <v>0.49523766666666669</v>
      </c>
      <c r="AH16" s="5">
        <v>0.4</v>
      </c>
      <c r="AI16" s="5">
        <v>1.2381</v>
      </c>
      <c r="AJ16" s="3">
        <v>16</v>
      </c>
      <c r="AK16">
        <v>15</v>
      </c>
      <c r="AL16">
        <v>16</v>
      </c>
      <c r="AM16" s="5">
        <v>0.9375</v>
      </c>
      <c r="AN16" s="5">
        <v>0.8</v>
      </c>
      <c r="AO16" s="5">
        <v>1.1718999999999999</v>
      </c>
      <c r="AP16" s="3">
        <v>56</v>
      </c>
    </row>
    <row r="17" spans="1:42">
      <c r="A17" s="4" t="str">
        <f>_xlfn.XLOOKUP(Table1[[#This Row],[SAP]],'Location List'!B:B,'Location List'!G:G)</f>
        <v>DFW NORTH</v>
      </c>
      <c r="B17" s="4" t="str">
        <f>LEFT(Table1[[#This Row],[Sap: Loaction]],4)</f>
        <v>1CSM</v>
      </c>
      <c r="C17" t="s">
        <v>505</v>
      </c>
      <c r="D17" t="s">
        <v>528</v>
      </c>
      <c r="E17" s="3">
        <v>2</v>
      </c>
      <c r="F17" s="3">
        <v>107</v>
      </c>
      <c r="G17">
        <v>146.19999999999999</v>
      </c>
      <c r="H17" t="s">
        <v>470</v>
      </c>
      <c r="I17" s="6">
        <v>63.750700000000002</v>
      </c>
      <c r="J17" s="6">
        <v>35.00093334797409</v>
      </c>
      <c r="K17" s="5">
        <v>1.8213999999999999</v>
      </c>
      <c r="L17" s="3">
        <v>11</v>
      </c>
      <c r="M17">
        <v>123</v>
      </c>
      <c r="N17">
        <v>104.14</v>
      </c>
      <c r="O17" s="5">
        <v>1.1811</v>
      </c>
      <c r="P17" s="3">
        <v>100</v>
      </c>
      <c r="Q17">
        <v>165</v>
      </c>
      <c r="R17">
        <v>917</v>
      </c>
      <c r="S17" s="5">
        <v>0.17993456924754633</v>
      </c>
      <c r="T17" s="5">
        <v>0.24000876250172912</v>
      </c>
      <c r="U17" s="5">
        <v>0.74970000000000003</v>
      </c>
      <c r="V17" s="3">
        <v>178</v>
      </c>
      <c r="W17" s="5">
        <v>1.3652696396219313</v>
      </c>
      <c r="X17" s="3">
        <v>88</v>
      </c>
      <c r="Y17">
        <v>8.9062999999999999</v>
      </c>
      <c r="Z17" s="3">
        <v>198</v>
      </c>
      <c r="AA17">
        <v>1</v>
      </c>
      <c r="AB17">
        <v>188</v>
      </c>
      <c r="AC17" s="5">
        <v>5.3191489361702126E-3</v>
      </c>
      <c r="AD17" s="5">
        <v>0.1</v>
      </c>
      <c r="AE17" s="5">
        <v>5.3199999999999997E-2</v>
      </c>
      <c r="AF17" s="3">
        <v>349</v>
      </c>
      <c r="AG17" s="5">
        <v>0.47003433333333339</v>
      </c>
      <c r="AH17" s="5">
        <v>0.4</v>
      </c>
      <c r="AI17" s="5">
        <v>1.1751</v>
      </c>
      <c r="AJ17" s="3">
        <v>21</v>
      </c>
      <c r="AK17">
        <v>17</v>
      </c>
      <c r="AL17">
        <v>23</v>
      </c>
      <c r="AM17" s="5">
        <v>0.73913043478260865</v>
      </c>
      <c r="AN17" s="5">
        <v>0.8</v>
      </c>
      <c r="AO17" s="5">
        <v>0.92390000000000005</v>
      </c>
      <c r="AP17" s="3">
        <v>198</v>
      </c>
    </row>
    <row r="18" spans="1:42">
      <c r="A18" s="4" t="str">
        <f>_xlfn.XLOOKUP(Table1[[#This Row],[SAP]],'Location List'!B:B,'Location List'!G:G)</f>
        <v>SA SOUTH</v>
      </c>
      <c r="B18" s="4" t="str">
        <f>LEFT(Table1[[#This Row],[Sap: Loaction]],4)</f>
        <v>1DSZ</v>
      </c>
      <c r="C18" t="s">
        <v>505</v>
      </c>
      <c r="D18" t="s">
        <v>522</v>
      </c>
      <c r="E18" s="3">
        <v>2</v>
      </c>
      <c r="F18" s="3">
        <v>108</v>
      </c>
      <c r="G18">
        <v>146.25</v>
      </c>
      <c r="H18" t="s">
        <v>470</v>
      </c>
      <c r="I18" s="6">
        <v>46.204500000000003</v>
      </c>
      <c r="J18" s="6">
        <v>35.000757518369824</v>
      </c>
      <c r="K18" s="5">
        <v>1.3201000000000001</v>
      </c>
      <c r="L18" s="3">
        <v>59</v>
      </c>
      <c r="M18">
        <v>96</v>
      </c>
      <c r="N18">
        <v>113.68300000000001</v>
      </c>
      <c r="O18" s="5">
        <v>0.84450000000000003</v>
      </c>
      <c r="P18" s="3">
        <v>242</v>
      </c>
      <c r="Q18">
        <v>175</v>
      </c>
      <c r="R18">
        <v>906</v>
      </c>
      <c r="S18" s="5">
        <v>0.19315673289183222</v>
      </c>
      <c r="T18" s="5">
        <v>0.24000588082981142</v>
      </c>
      <c r="U18" s="5">
        <v>0.80479999999999996</v>
      </c>
      <c r="V18" s="3">
        <v>139</v>
      </c>
      <c r="W18" s="5">
        <v>1.2529526200439349</v>
      </c>
      <c r="X18" s="3">
        <v>134</v>
      </c>
      <c r="Y18">
        <v>9.4167000000000005</v>
      </c>
      <c r="Z18" s="3">
        <v>81</v>
      </c>
      <c r="AA18">
        <v>11</v>
      </c>
      <c r="AB18">
        <v>100</v>
      </c>
      <c r="AC18" s="5">
        <v>0.11</v>
      </c>
      <c r="AD18" s="5">
        <v>0.1</v>
      </c>
      <c r="AE18" s="5">
        <v>1.1000000000000001</v>
      </c>
      <c r="AF18" s="3">
        <v>99</v>
      </c>
      <c r="AG18" s="5">
        <v>0.32173333333333332</v>
      </c>
      <c r="AH18" s="5">
        <v>0.4</v>
      </c>
      <c r="AI18" s="5">
        <v>0.80430000000000001</v>
      </c>
      <c r="AJ18" s="3">
        <v>150</v>
      </c>
      <c r="AK18">
        <v>11</v>
      </c>
      <c r="AL18">
        <v>19</v>
      </c>
      <c r="AM18" s="5">
        <v>0.57894736842105265</v>
      </c>
      <c r="AN18" s="5">
        <v>0.8</v>
      </c>
      <c r="AO18" s="5">
        <v>0.72370000000000001</v>
      </c>
      <c r="AP18" s="3">
        <v>289</v>
      </c>
    </row>
    <row r="19" spans="1:42">
      <c r="A19" s="4" t="str">
        <f>_xlfn.XLOOKUP(Table1[[#This Row],[SAP]],'Location List'!B:B,'Location List'!G:G)</f>
        <v>SA/HILL COUNTRY</v>
      </c>
      <c r="B19" s="4" t="str">
        <f>LEFT(Table1[[#This Row],[Sap: Loaction]],4)</f>
        <v>1DSW</v>
      </c>
      <c r="C19" t="s">
        <v>505</v>
      </c>
      <c r="D19" t="s">
        <v>518</v>
      </c>
      <c r="E19" s="3">
        <v>2</v>
      </c>
      <c r="F19" s="3">
        <v>109</v>
      </c>
      <c r="G19">
        <v>147.6</v>
      </c>
      <c r="H19" t="s">
        <v>470</v>
      </c>
      <c r="I19" s="6">
        <v>34.996899999999997</v>
      </c>
      <c r="J19" s="6">
        <v>40.001028688993024</v>
      </c>
      <c r="K19" s="5">
        <v>0.87490000000000001</v>
      </c>
      <c r="L19" s="3">
        <v>232</v>
      </c>
      <c r="M19">
        <v>153</v>
      </c>
      <c r="N19">
        <v>124.015</v>
      </c>
      <c r="O19" s="5">
        <v>1.2337</v>
      </c>
      <c r="P19" s="3">
        <v>80</v>
      </c>
      <c r="Q19">
        <v>215</v>
      </c>
      <c r="R19">
        <v>1245</v>
      </c>
      <c r="S19" s="5">
        <v>0.17269076305220885</v>
      </c>
      <c r="T19" s="5">
        <v>0.24001495907186773</v>
      </c>
      <c r="U19" s="5">
        <v>0.71950000000000003</v>
      </c>
      <c r="V19" s="3">
        <v>203</v>
      </c>
      <c r="W19" s="5">
        <v>1.7237348635372554</v>
      </c>
      <c r="X19" s="3">
        <v>21</v>
      </c>
      <c r="Y19">
        <v>9.2826000000000004</v>
      </c>
      <c r="Z19" s="3">
        <v>111</v>
      </c>
      <c r="AA19">
        <v>19</v>
      </c>
      <c r="AB19">
        <v>144</v>
      </c>
      <c r="AC19" s="5">
        <v>0.13194444444444445</v>
      </c>
      <c r="AD19" s="5">
        <v>0.1</v>
      </c>
      <c r="AE19" s="5">
        <v>1.3193999999999999</v>
      </c>
      <c r="AF19" s="3">
        <v>65</v>
      </c>
      <c r="AG19" s="5">
        <v>0.3001496666666667</v>
      </c>
      <c r="AH19" s="5">
        <v>0.4</v>
      </c>
      <c r="AI19" s="5">
        <v>0.75039999999999996</v>
      </c>
      <c r="AJ19" s="3">
        <v>192</v>
      </c>
      <c r="AK19">
        <v>13</v>
      </c>
      <c r="AL19">
        <v>22</v>
      </c>
      <c r="AM19" s="5">
        <v>0.59090909090909094</v>
      </c>
      <c r="AN19" s="5">
        <v>0.8</v>
      </c>
      <c r="AO19" s="5">
        <v>0.73860000000000003</v>
      </c>
      <c r="AP19" s="3">
        <v>282</v>
      </c>
    </row>
    <row r="20" spans="1:42">
      <c r="A20" s="4" t="str">
        <f>_xlfn.XLOOKUP(Table1[[#This Row],[SAP]],'Location List'!B:B,'Location List'!G:G)</f>
        <v>KS/OK</v>
      </c>
      <c r="B20" s="4" t="str">
        <f>LEFT(Table1[[#This Row],[Sap: Loaction]],4)</f>
        <v>990F</v>
      </c>
      <c r="C20" t="s">
        <v>505</v>
      </c>
      <c r="D20" t="s">
        <v>541</v>
      </c>
      <c r="E20" s="3">
        <v>2</v>
      </c>
      <c r="F20" s="3">
        <v>126</v>
      </c>
      <c r="G20">
        <v>154.15</v>
      </c>
      <c r="H20" t="s">
        <v>470</v>
      </c>
      <c r="I20" s="6">
        <v>40.049300000000002</v>
      </c>
      <c r="J20" s="6">
        <v>40.001298441869757</v>
      </c>
      <c r="K20" s="5">
        <v>1.0012000000000001</v>
      </c>
      <c r="L20" s="3">
        <v>168</v>
      </c>
      <c r="M20">
        <v>176</v>
      </c>
      <c r="N20">
        <v>210.667</v>
      </c>
      <c r="O20" s="5">
        <v>0.83540000000000003</v>
      </c>
      <c r="P20" s="3">
        <v>248</v>
      </c>
      <c r="Q20">
        <v>262</v>
      </c>
      <c r="R20">
        <v>1178</v>
      </c>
      <c r="S20" s="5">
        <v>0.22241086587436332</v>
      </c>
      <c r="T20" s="5">
        <v>0.24000309255893312</v>
      </c>
      <c r="U20" s="5">
        <v>0.92669999999999997</v>
      </c>
      <c r="V20" s="3">
        <v>85</v>
      </c>
      <c r="W20" s="5">
        <v>1.2728398171525868</v>
      </c>
      <c r="X20" s="3">
        <v>123</v>
      </c>
      <c r="Y20">
        <v>8.7142999999999997</v>
      </c>
      <c r="Z20" s="3">
        <v>235</v>
      </c>
      <c r="AA20">
        <v>10</v>
      </c>
      <c r="AB20">
        <v>86</v>
      </c>
      <c r="AC20" s="5">
        <v>0.11627906976744186</v>
      </c>
      <c r="AD20" s="5">
        <v>0.1</v>
      </c>
      <c r="AE20" s="5">
        <v>1.1628000000000001</v>
      </c>
      <c r="AF20" s="3">
        <v>90</v>
      </c>
      <c r="AG20" s="5">
        <v>0.27647033333333332</v>
      </c>
      <c r="AH20" s="5">
        <v>0.4</v>
      </c>
      <c r="AI20" s="5">
        <v>0.69120000000000004</v>
      </c>
      <c r="AJ20" s="3">
        <v>217</v>
      </c>
      <c r="AK20">
        <v>19</v>
      </c>
      <c r="AL20">
        <v>21</v>
      </c>
      <c r="AM20" s="5">
        <v>0.90476190476190477</v>
      </c>
      <c r="AN20" s="5">
        <v>0.8</v>
      </c>
      <c r="AO20" s="5">
        <v>1.131</v>
      </c>
      <c r="AP20" s="3">
        <v>80</v>
      </c>
    </row>
    <row r="21" spans="1:42">
      <c r="A21" s="4" t="str">
        <f>_xlfn.XLOOKUP(Table1[[#This Row],[SAP]],'Location List'!B:B,'Location List'!G:G)</f>
        <v>KS/OK</v>
      </c>
      <c r="B21" s="4" t="str">
        <f>LEFT(Table1[[#This Row],[Sap: Loaction]],4)</f>
        <v>4DSC</v>
      </c>
      <c r="C21" t="s">
        <v>505</v>
      </c>
      <c r="D21" t="s">
        <v>547</v>
      </c>
      <c r="E21" s="3">
        <v>2</v>
      </c>
      <c r="F21" s="3">
        <v>136</v>
      </c>
      <c r="G21">
        <v>158.15</v>
      </c>
      <c r="H21" t="s">
        <v>470</v>
      </c>
      <c r="I21" s="6">
        <v>40.223599999999998</v>
      </c>
      <c r="J21" s="6">
        <v>35.001392272885482</v>
      </c>
      <c r="K21" s="5">
        <v>1.1492</v>
      </c>
      <c r="L21" s="3">
        <v>114</v>
      </c>
      <c r="M21">
        <v>142</v>
      </c>
      <c r="N21">
        <v>99.372</v>
      </c>
      <c r="O21" s="5">
        <v>1.429</v>
      </c>
      <c r="P21" s="3">
        <v>40</v>
      </c>
      <c r="Q21">
        <v>198</v>
      </c>
      <c r="R21">
        <v>1149</v>
      </c>
      <c r="S21" s="5">
        <v>0.17232375979112272</v>
      </c>
      <c r="T21" s="5">
        <v>0.2400052364778868</v>
      </c>
      <c r="U21" s="5">
        <v>0.71799999999999997</v>
      </c>
      <c r="V21" s="3">
        <v>204</v>
      </c>
      <c r="W21" s="5">
        <v>1.1459986827495643</v>
      </c>
      <c r="X21" s="3">
        <v>167</v>
      </c>
      <c r="Y21">
        <v>8.7380999999999993</v>
      </c>
      <c r="Z21" s="3">
        <v>232</v>
      </c>
      <c r="AA21">
        <v>5</v>
      </c>
      <c r="AB21">
        <v>202</v>
      </c>
      <c r="AC21" s="5">
        <v>2.4752475247524754E-2</v>
      </c>
      <c r="AD21" s="5">
        <v>0.1</v>
      </c>
      <c r="AE21" s="5">
        <v>0.2475</v>
      </c>
      <c r="AF21" s="3">
        <v>299</v>
      </c>
      <c r="AG21" s="5">
        <v>0.38242033333333336</v>
      </c>
      <c r="AH21" s="5">
        <v>0.4</v>
      </c>
      <c r="AI21" s="5">
        <v>0.95609999999999995</v>
      </c>
      <c r="AJ21" s="3">
        <v>76</v>
      </c>
      <c r="AK21">
        <v>34</v>
      </c>
      <c r="AL21">
        <v>40</v>
      </c>
      <c r="AM21" s="5">
        <v>0.85</v>
      </c>
      <c r="AN21" s="5">
        <v>0.8</v>
      </c>
      <c r="AO21" s="5">
        <v>1.0625</v>
      </c>
      <c r="AP21" s="3">
        <v>121</v>
      </c>
    </row>
    <row r="22" spans="1:42">
      <c r="A22" s="4" t="str">
        <f>_xlfn.XLOOKUP(Table1[[#This Row],[SAP]],'Location List'!B:B,'Location List'!G:G)</f>
        <v>DFW EAST</v>
      </c>
      <c r="B22" s="4" t="str">
        <f>LEFT(Table1[[#This Row],[Sap: Loaction]],4)</f>
        <v>875E</v>
      </c>
      <c r="C22" t="s">
        <v>505</v>
      </c>
      <c r="D22" t="s">
        <v>521</v>
      </c>
      <c r="E22" s="3">
        <v>2</v>
      </c>
      <c r="F22" s="3">
        <v>140</v>
      </c>
      <c r="G22">
        <v>159.15</v>
      </c>
      <c r="H22" t="s">
        <v>470</v>
      </c>
      <c r="I22" s="6">
        <v>21.4633</v>
      </c>
      <c r="J22" s="6">
        <v>35.002120026092634</v>
      </c>
      <c r="K22" s="5">
        <v>0.61319999999999997</v>
      </c>
      <c r="L22" s="3">
        <v>334</v>
      </c>
      <c r="M22">
        <v>130</v>
      </c>
      <c r="N22">
        <v>129.58000000000001</v>
      </c>
      <c r="O22" s="5">
        <v>1.0032000000000001</v>
      </c>
      <c r="P22" s="3">
        <v>179</v>
      </c>
      <c r="Q22">
        <v>223</v>
      </c>
      <c r="R22">
        <v>988</v>
      </c>
      <c r="S22" s="5">
        <v>0.22570850202429149</v>
      </c>
      <c r="T22" s="5">
        <v>0.23998777461381338</v>
      </c>
      <c r="U22" s="5">
        <v>0.9405</v>
      </c>
      <c r="V22" s="3">
        <v>77</v>
      </c>
      <c r="W22" s="5">
        <v>1.3563174148254296</v>
      </c>
      <c r="X22" s="3">
        <v>92</v>
      </c>
      <c r="Y22">
        <v>7.7586000000000004</v>
      </c>
      <c r="Z22" s="3">
        <v>331</v>
      </c>
      <c r="AA22">
        <v>39</v>
      </c>
      <c r="AB22">
        <v>199</v>
      </c>
      <c r="AC22" s="5">
        <v>0.19597989949748743</v>
      </c>
      <c r="AD22" s="5">
        <v>0.1</v>
      </c>
      <c r="AE22" s="5">
        <v>1.9598</v>
      </c>
      <c r="AF22" s="3">
        <v>27</v>
      </c>
      <c r="AG22" s="5">
        <v>0.36544033333333337</v>
      </c>
      <c r="AH22" s="5">
        <v>0.4</v>
      </c>
      <c r="AI22" s="5">
        <v>0.91359999999999997</v>
      </c>
      <c r="AJ22" s="3">
        <v>92</v>
      </c>
      <c r="AK22">
        <v>43</v>
      </c>
      <c r="AL22">
        <v>53</v>
      </c>
      <c r="AM22" s="5">
        <v>0.81132075471698117</v>
      </c>
      <c r="AN22" s="5">
        <v>0.8</v>
      </c>
      <c r="AO22" s="5">
        <v>1.0142</v>
      </c>
      <c r="AP22" s="3">
        <v>151</v>
      </c>
    </row>
    <row r="23" spans="1:42">
      <c r="A23" s="4" t="str">
        <f>_xlfn.XLOOKUP(Table1[[#This Row],[SAP]],'Location List'!B:B,'Location List'!G:G)</f>
        <v>DFW EAST</v>
      </c>
      <c r="B23" s="4" t="str">
        <f>LEFT(Table1[[#This Row],[Sap: Loaction]],4)</f>
        <v>0115</v>
      </c>
      <c r="C23" t="s">
        <v>505</v>
      </c>
      <c r="D23" t="s">
        <v>549</v>
      </c>
      <c r="E23" s="3">
        <v>3</v>
      </c>
      <c r="F23" s="3">
        <v>146</v>
      </c>
      <c r="G23">
        <v>161.65</v>
      </c>
      <c r="H23" t="s">
        <v>470</v>
      </c>
      <c r="I23" s="6">
        <v>51.699100000000001</v>
      </c>
      <c r="J23" s="6">
        <v>39.99930367504836</v>
      </c>
      <c r="K23" s="5">
        <v>1.2925</v>
      </c>
      <c r="L23" s="3">
        <v>63</v>
      </c>
      <c r="M23">
        <v>280</v>
      </c>
      <c r="N23">
        <v>228.161</v>
      </c>
      <c r="O23" s="5">
        <v>1.2272000000000001</v>
      </c>
      <c r="P23" s="3">
        <v>82</v>
      </c>
      <c r="Q23">
        <v>348</v>
      </c>
      <c r="R23">
        <v>1590</v>
      </c>
      <c r="S23" s="5">
        <v>0.21886792452830189</v>
      </c>
      <c r="T23" s="5">
        <v>0.24001307657451681</v>
      </c>
      <c r="U23" s="5">
        <v>0.91190000000000004</v>
      </c>
      <c r="V23" s="3">
        <v>89</v>
      </c>
      <c r="W23" s="5">
        <v>1.0734690309209862</v>
      </c>
      <c r="X23" s="3">
        <v>202</v>
      </c>
      <c r="Y23">
        <v>8.6471</v>
      </c>
      <c r="Z23" s="3">
        <v>252</v>
      </c>
      <c r="AA23">
        <v>12</v>
      </c>
      <c r="AB23">
        <v>244</v>
      </c>
      <c r="AC23" s="5">
        <v>4.9180327868852458E-2</v>
      </c>
      <c r="AD23" s="5">
        <v>0.1</v>
      </c>
      <c r="AE23" s="5">
        <v>0.49180000000000001</v>
      </c>
      <c r="AF23" s="3">
        <v>233</v>
      </c>
      <c r="AG23" s="5">
        <v>0.14407899999999998</v>
      </c>
      <c r="AH23" s="5">
        <v>0.4</v>
      </c>
      <c r="AI23" s="5">
        <v>0.36020000000000002</v>
      </c>
      <c r="AJ23" s="3">
        <v>347</v>
      </c>
      <c r="AK23">
        <v>42</v>
      </c>
      <c r="AL23">
        <v>49</v>
      </c>
      <c r="AM23" s="5">
        <v>0.8571428571428571</v>
      </c>
      <c r="AN23" s="5">
        <v>0.8</v>
      </c>
      <c r="AO23" s="5">
        <v>1.0713999999999999</v>
      </c>
      <c r="AP23" s="3">
        <v>115</v>
      </c>
    </row>
    <row r="24" spans="1:42">
      <c r="A24" s="4" t="str">
        <f>_xlfn.XLOOKUP(Table1[[#This Row],[SAP]],'Location List'!B:B,'Location List'!G:G)</f>
        <v>SA/HILL COUNTRY</v>
      </c>
      <c r="B24" s="4" t="str">
        <f>LEFT(Table1[[#This Row],[Sap: Loaction]],4)</f>
        <v>1ESB</v>
      </c>
      <c r="C24" t="s">
        <v>505</v>
      </c>
      <c r="D24" t="s">
        <v>533</v>
      </c>
      <c r="E24" s="3">
        <v>3</v>
      </c>
      <c r="F24" s="3">
        <v>146</v>
      </c>
      <c r="G24">
        <v>161.65</v>
      </c>
      <c r="H24" t="s">
        <v>470</v>
      </c>
      <c r="I24" s="6">
        <v>47.883800000000001</v>
      </c>
      <c r="J24" s="6">
        <v>39.999832929579817</v>
      </c>
      <c r="K24" s="5">
        <v>1.1971000000000001</v>
      </c>
      <c r="L24" s="3">
        <v>99</v>
      </c>
      <c r="M24">
        <v>211</v>
      </c>
      <c r="N24">
        <v>156.60900000000001</v>
      </c>
      <c r="O24" s="5">
        <v>1.3472999999999999</v>
      </c>
      <c r="P24" s="3">
        <v>52</v>
      </c>
      <c r="Q24">
        <v>352</v>
      </c>
      <c r="R24">
        <v>1554</v>
      </c>
      <c r="S24" s="5">
        <v>0.22651222651222652</v>
      </c>
      <c r="T24" s="5">
        <v>0.24000024000024001</v>
      </c>
      <c r="U24" s="5">
        <v>0.94379999999999997</v>
      </c>
      <c r="V24" s="3">
        <v>73</v>
      </c>
      <c r="W24" s="5">
        <v>0.9840732885650979</v>
      </c>
      <c r="X24" s="3">
        <v>228</v>
      </c>
      <c r="Y24">
        <v>7.0332999999999997</v>
      </c>
      <c r="Z24" s="3">
        <v>354</v>
      </c>
      <c r="AA24">
        <v>20</v>
      </c>
      <c r="AB24">
        <v>223</v>
      </c>
      <c r="AC24" s="5">
        <v>8.9686098654708515E-2</v>
      </c>
      <c r="AD24" s="5">
        <v>0.1</v>
      </c>
      <c r="AE24" s="5">
        <v>0.89690000000000003</v>
      </c>
      <c r="AF24" s="3">
        <v>131</v>
      </c>
      <c r="AG24" s="5">
        <v>0.16100033333333333</v>
      </c>
      <c r="AH24" s="5">
        <v>0.4</v>
      </c>
      <c r="AI24" s="5">
        <v>0.40250000000000002</v>
      </c>
      <c r="AJ24" s="3">
        <v>336</v>
      </c>
      <c r="AK24">
        <v>31</v>
      </c>
      <c r="AL24">
        <v>39</v>
      </c>
      <c r="AM24" s="5">
        <v>0.79487179487179482</v>
      </c>
      <c r="AN24" s="5">
        <v>0.8</v>
      </c>
      <c r="AO24" s="5">
        <v>0.99360000000000004</v>
      </c>
      <c r="AP24" s="3">
        <v>166</v>
      </c>
    </row>
    <row r="25" spans="1:42">
      <c r="A25" s="4" t="str">
        <f>_xlfn.XLOOKUP(Table1[[#This Row],[SAP]],'Location List'!B:B,'Location List'!G:G)</f>
        <v>SA SOUTH</v>
      </c>
      <c r="B25" s="4" t="str">
        <f>LEFT(Table1[[#This Row],[Sap: Loaction]],4)</f>
        <v>1ESL</v>
      </c>
      <c r="C25" t="s">
        <v>505</v>
      </c>
      <c r="D25" t="s">
        <v>537</v>
      </c>
      <c r="E25" s="3">
        <v>3</v>
      </c>
      <c r="F25" s="3">
        <v>150</v>
      </c>
      <c r="G25">
        <v>162.94999999999999</v>
      </c>
      <c r="H25" t="s">
        <v>470</v>
      </c>
      <c r="I25" s="6">
        <v>29.810500000000001</v>
      </c>
      <c r="J25" s="6">
        <v>35.001174122343549</v>
      </c>
      <c r="K25" s="5">
        <v>0.85170000000000001</v>
      </c>
      <c r="L25" s="3">
        <v>247</v>
      </c>
      <c r="M25">
        <v>133</v>
      </c>
      <c r="N25">
        <v>124.015</v>
      </c>
      <c r="O25" s="5">
        <v>1.0725</v>
      </c>
      <c r="P25" s="3">
        <v>151</v>
      </c>
      <c r="Q25">
        <v>194</v>
      </c>
      <c r="R25">
        <v>1178</v>
      </c>
      <c r="S25" s="5">
        <v>0.16468590831918506</v>
      </c>
      <c r="T25" s="5">
        <v>0.18000427185395676</v>
      </c>
      <c r="U25" s="5">
        <v>0.91490000000000005</v>
      </c>
      <c r="V25" s="3">
        <v>88</v>
      </c>
      <c r="W25" s="5">
        <v>1.4202112234931337</v>
      </c>
      <c r="X25" s="3">
        <v>71</v>
      </c>
      <c r="Y25">
        <v>9.4705999999999992</v>
      </c>
      <c r="Z25" s="3">
        <v>68</v>
      </c>
      <c r="AA25">
        <v>9</v>
      </c>
      <c r="AB25">
        <v>71</v>
      </c>
      <c r="AC25" s="5">
        <v>0.12676056338028169</v>
      </c>
      <c r="AD25" s="5">
        <v>0.1</v>
      </c>
      <c r="AE25" s="5">
        <v>1.2676000000000001</v>
      </c>
      <c r="AF25" s="3">
        <v>71</v>
      </c>
      <c r="AG25" s="5">
        <v>0.20211966666666667</v>
      </c>
      <c r="AH25" s="5">
        <v>0.4</v>
      </c>
      <c r="AI25" s="5">
        <v>0.50529999999999997</v>
      </c>
      <c r="AJ25" s="3">
        <v>300</v>
      </c>
      <c r="AK25">
        <v>9</v>
      </c>
      <c r="AL25">
        <v>40</v>
      </c>
      <c r="AM25" s="5">
        <v>0.22500000000000001</v>
      </c>
      <c r="AN25" s="5">
        <v>0.8</v>
      </c>
      <c r="AO25" s="5">
        <v>0.28129999999999999</v>
      </c>
      <c r="AP25" s="3">
        <v>355</v>
      </c>
    </row>
    <row r="26" spans="1:42">
      <c r="A26" s="4" t="str">
        <f>_xlfn.XLOOKUP(Table1[[#This Row],[SAP]],'Location List'!B:B,'Location List'!G:G)</f>
        <v>DFW EAST</v>
      </c>
      <c r="B26" s="4" t="str">
        <f>LEFT(Table1[[#This Row],[Sap: Loaction]],4)</f>
        <v>5784</v>
      </c>
      <c r="C26" t="s">
        <v>505</v>
      </c>
      <c r="D26" t="s">
        <v>560</v>
      </c>
      <c r="E26" s="3">
        <v>3</v>
      </c>
      <c r="F26" s="3">
        <v>151</v>
      </c>
      <c r="G26">
        <v>163.4</v>
      </c>
      <c r="H26" t="s">
        <v>470</v>
      </c>
      <c r="I26" s="6">
        <v>42.557400000000001</v>
      </c>
      <c r="J26" s="6">
        <v>40.001315913149732</v>
      </c>
      <c r="K26" s="5">
        <v>1.0639000000000001</v>
      </c>
      <c r="L26" s="3">
        <v>148</v>
      </c>
      <c r="M26">
        <v>149</v>
      </c>
      <c r="N26">
        <v>145.483</v>
      </c>
      <c r="O26" s="5">
        <v>1.0242</v>
      </c>
      <c r="P26" s="3">
        <v>167</v>
      </c>
      <c r="Q26">
        <v>238</v>
      </c>
      <c r="R26">
        <v>1439</v>
      </c>
      <c r="S26" s="5">
        <v>0.16539263377345378</v>
      </c>
      <c r="T26" s="5">
        <v>0.24001252905739917</v>
      </c>
      <c r="U26" s="5">
        <v>0.68910000000000005</v>
      </c>
      <c r="V26" s="3">
        <v>226</v>
      </c>
      <c r="W26" s="5">
        <v>0.96657407026015285</v>
      </c>
      <c r="X26" s="3">
        <v>239</v>
      </c>
      <c r="Y26">
        <v>9.3332999999999995</v>
      </c>
      <c r="Z26" s="3">
        <v>98</v>
      </c>
      <c r="AA26">
        <v>16</v>
      </c>
      <c r="AB26">
        <v>201</v>
      </c>
      <c r="AC26" s="5">
        <v>7.9601990049751242E-2</v>
      </c>
      <c r="AD26" s="5">
        <v>0.1</v>
      </c>
      <c r="AE26" s="5">
        <v>0.79600000000000004</v>
      </c>
      <c r="AF26" s="3">
        <v>155</v>
      </c>
      <c r="AG26" s="5">
        <v>0.31917899999999999</v>
      </c>
      <c r="AH26" s="5">
        <v>0.4</v>
      </c>
      <c r="AI26" s="5">
        <v>0.79790000000000005</v>
      </c>
      <c r="AJ26" s="3">
        <v>155</v>
      </c>
      <c r="AK26">
        <v>35</v>
      </c>
      <c r="AL26">
        <v>40</v>
      </c>
      <c r="AM26" s="5">
        <v>0.875</v>
      </c>
      <c r="AN26" s="5">
        <v>0.8</v>
      </c>
      <c r="AO26" s="5">
        <v>1.0938000000000001</v>
      </c>
      <c r="AP26" s="3">
        <v>98</v>
      </c>
    </row>
    <row r="27" spans="1:42">
      <c r="A27" s="4" t="str">
        <f>_xlfn.XLOOKUP(Table1[[#This Row],[SAP]],'Location List'!B:B,'Location List'!G:G)</f>
        <v>WEST TEXAS</v>
      </c>
      <c r="B27" s="4" t="str">
        <f>LEFT(Table1[[#This Row],[Sap: Loaction]],4)</f>
        <v>1FSZ</v>
      </c>
      <c r="C27" t="s">
        <v>505</v>
      </c>
      <c r="D27" t="s">
        <v>552</v>
      </c>
      <c r="E27" s="3">
        <v>3</v>
      </c>
      <c r="F27" s="3">
        <v>153</v>
      </c>
      <c r="G27">
        <v>164.2</v>
      </c>
      <c r="H27" t="s">
        <v>470</v>
      </c>
      <c r="I27" s="6">
        <v>95.9345</v>
      </c>
      <c r="J27" s="6">
        <v>39.999374583055371</v>
      </c>
      <c r="K27" s="5">
        <v>2.3984000000000001</v>
      </c>
      <c r="L27" s="3">
        <v>3</v>
      </c>
      <c r="M27">
        <v>271</v>
      </c>
      <c r="N27">
        <v>238.49</v>
      </c>
      <c r="O27" s="5">
        <v>1.1363000000000001</v>
      </c>
      <c r="P27" s="3">
        <v>125</v>
      </c>
      <c r="Q27">
        <v>332</v>
      </c>
      <c r="R27">
        <v>1840</v>
      </c>
      <c r="S27" s="5">
        <v>0.18043478260869567</v>
      </c>
      <c r="T27" s="5">
        <v>0.24000370126189899</v>
      </c>
      <c r="U27" s="5">
        <v>0.75180000000000002</v>
      </c>
      <c r="V27" s="3">
        <v>177</v>
      </c>
      <c r="W27" s="5">
        <v>0.95249938664614964</v>
      </c>
      <c r="X27" s="3">
        <v>245</v>
      </c>
      <c r="Y27">
        <v>7.9512</v>
      </c>
      <c r="Z27" s="3">
        <v>316</v>
      </c>
      <c r="AA27">
        <v>12</v>
      </c>
      <c r="AB27">
        <v>266</v>
      </c>
      <c r="AC27" s="5">
        <v>4.5112781954887216E-2</v>
      </c>
      <c r="AD27" s="5">
        <v>0.1</v>
      </c>
      <c r="AE27" s="5">
        <v>0.4511</v>
      </c>
      <c r="AF27" s="3">
        <v>243</v>
      </c>
      <c r="AG27" s="5">
        <v>0.37540733333333337</v>
      </c>
      <c r="AH27" s="5">
        <v>0.4</v>
      </c>
      <c r="AI27" s="5">
        <v>0.9385</v>
      </c>
      <c r="AJ27" s="3">
        <v>84</v>
      </c>
      <c r="AK27">
        <v>48</v>
      </c>
      <c r="AL27">
        <v>62</v>
      </c>
      <c r="AM27" s="5">
        <v>0.77419354838709675</v>
      </c>
      <c r="AN27" s="5">
        <v>0.8</v>
      </c>
      <c r="AO27" s="5">
        <v>0.9677</v>
      </c>
      <c r="AP27" s="3">
        <v>175</v>
      </c>
    </row>
    <row r="28" spans="1:42">
      <c r="A28" s="4" t="str">
        <f>_xlfn.XLOOKUP(Table1[[#This Row],[SAP]],'Location List'!B:B,'Location List'!G:G)</f>
        <v>WEST TEXAS</v>
      </c>
      <c r="B28" s="4" t="str">
        <f>LEFT(Table1[[#This Row],[Sap: Loaction]],4)</f>
        <v>705D</v>
      </c>
      <c r="C28" t="s">
        <v>505</v>
      </c>
      <c r="D28" t="s">
        <v>536</v>
      </c>
      <c r="E28" s="3">
        <v>3</v>
      </c>
      <c r="F28" s="3">
        <v>154</v>
      </c>
      <c r="G28">
        <v>164.4</v>
      </c>
      <c r="H28" t="s">
        <v>470</v>
      </c>
      <c r="I28" s="6">
        <v>73.274199999999993</v>
      </c>
      <c r="J28" s="6">
        <v>39.999017413614276</v>
      </c>
      <c r="K28" s="5">
        <v>1.8319000000000001</v>
      </c>
      <c r="L28" s="3">
        <v>10</v>
      </c>
      <c r="M28">
        <v>165</v>
      </c>
      <c r="N28">
        <v>135.94</v>
      </c>
      <c r="O28" s="5">
        <v>1.2138</v>
      </c>
      <c r="P28" s="3">
        <v>86</v>
      </c>
      <c r="Q28">
        <v>235</v>
      </c>
      <c r="R28">
        <v>1298</v>
      </c>
      <c r="S28" s="5">
        <v>0.18104776579352849</v>
      </c>
      <c r="T28" s="5">
        <v>0.23998908509216396</v>
      </c>
      <c r="U28" s="5">
        <v>0.75439999999999996</v>
      </c>
      <c r="V28" s="3">
        <v>173</v>
      </c>
      <c r="W28" s="5">
        <v>1.5059726413763255</v>
      </c>
      <c r="X28" s="3">
        <v>52</v>
      </c>
      <c r="Y28">
        <v>7.4138000000000002</v>
      </c>
      <c r="Z28" s="3">
        <v>344</v>
      </c>
      <c r="AA28">
        <v>7</v>
      </c>
      <c r="AB28">
        <v>162</v>
      </c>
      <c r="AC28" s="5">
        <v>4.3209876543209874E-2</v>
      </c>
      <c r="AD28" s="5">
        <v>0.1</v>
      </c>
      <c r="AE28" s="5">
        <v>0.43209999999999998</v>
      </c>
      <c r="AF28" s="3">
        <v>249</v>
      </c>
      <c r="AG28" s="5">
        <v>0.33256999999999998</v>
      </c>
      <c r="AH28" s="5">
        <v>0.4</v>
      </c>
      <c r="AI28" s="5">
        <v>0.83140000000000003</v>
      </c>
      <c r="AJ28" s="3">
        <v>132</v>
      </c>
      <c r="AK28">
        <v>16</v>
      </c>
      <c r="AL28">
        <v>39</v>
      </c>
      <c r="AM28" s="5">
        <v>0.41025641025641024</v>
      </c>
      <c r="AN28" s="5">
        <v>0.8</v>
      </c>
      <c r="AO28" s="5">
        <v>0.51280000000000003</v>
      </c>
      <c r="AP28" s="3">
        <v>339</v>
      </c>
    </row>
    <row r="29" spans="1:42">
      <c r="A29" s="4" t="str">
        <f>_xlfn.XLOOKUP(Table1[[#This Row],[SAP]],'Location List'!B:B,'Location List'!G:G)</f>
        <v>SOUTH TX/RGV</v>
      </c>
      <c r="B29" s="4" t="str">
        <f>LEFT(Table1[[#This Row],[Sap: Loaction]],4)</f>
        <v>5332</v>
      </c>
      <c r="C29" t="s">
        <v>505</v>
      </c>
      <c r="D29" t="s">
        <v>582</v>
      </c>
      <c r="E29" s="3">
        <v>3</v>
      </c>
      <c r="F29" s="3">
        <v>156</v>
      </c>
      <c r="G29">
        <v>165.45</v>
      </c>
      <c r="H29" t="s">
        <v>470</v>
      </c>
      <c r="I29" s="6">
        <v>43.808500000000002</v>
      </c>
      <c r="J29" s="6">
        <v>34.999201086522334</v>
      </c>
      <c r="K29" s="5">
        <v>1.2517</v>
      </c>
      <c r="L29" s="3">
        <v>78</v>
      </c>
      <c r="M29">
        <v>116</v>
      </c>
      <c r="N29">
        <v>131.17500000000001</v>
      </c>
      <c r="O29" s="5">
        <v>0.88429999999999997</v>
      </c>
      <c r="P29" s="3">
        <v>226</v>
      </c>
      <c r="Q29">
        <v>168</v>
      </c>
      <c r="R29">
        <v>838</v>
      </c>
      <c r="S29" s="5">
        <v>0.20047732696897375</v>
      </c>
      <c r="T29" s="5">
        <v>0.24000637731231142</v>
      </c>
      <c r="U29" s="5">
        <v>0.83530000000000004</v>
      </c>
      <c r="V29" s="3">
        <v>123</v>
      </c>
      <c r="W29" s="5">
        <v>0.94627235802582932</v>
      </c>
      <c r="X29" s="3">
        <v>248</v>
      </c>
      <c r="Y29">
        <v>9.2050999999999998</v>
      </c>
      <c r="Z29" s="3">
        <v>128</v>
      </c>
      <c r="AA29">
        <v>13</v>
      </c>
      <c r="AB29">
        <v>155</v>
      </c>
      <c r="AC29" s="5">
        <v>8.387096774193549E-2</v>
      </c>
      <c r="AD29" s="5">
        <v>0.1</v>
      </c>
      <c r="AE29" s="5">
        <v>0.8387</v>
      </c>
      <c r="AF29" s="3">
        <v>142</v>
      </c>
      <c r="AG29" s="5">
        <v>0.32823066666666667</v>
      </c>
      <c r="AH29" s="5">
        <v>0.4</v>
      </c>
      <c r="AI29" s="5">
        <v>0.8206</v>
      </c>
      <c r="AJ29" s="3">
        <v>140</v>
      </c>
      <c r="AK29">
        <v>10</v>
      </c>
      <c r="AL29">
        <v>17</v>
      </c>
      <c r="AM29" s="5">
        <v>0.58823529411764708</v>
      </c>
      <c r="AN29" s="5">
        <v>0.8</v>
      </c>
      <c r="AO29" s="5">
        <v>0.73529999999999995</v>
      </c>
      <c r="AP29" s="3">
        <v>285</v>
      </c>
    </row>
    <row r="30" spans="1:42">
      <c r="A30" s="4" t="str">
        <f>_xlfn.XLOOKUP(Table1[[#This Row],[SAP]],'Location List'!B:B,'Location List'!G:G)</f>
        <v>CENTRAL TEXAS</v>
      </c>
      <c r="B30" s="4" t="str">
        <f>LEFT(Table1[[#This Row],[Sap: Loaction]],4)</f>
        <v>1DSU</v>
      </c>
      <c r="C30" t="s">
        <v>505</v>
      </c>
      <c r="D30" t="s">
        <v>524</v>
      </c>
      <c r="E30" s="3">
        <v>3</v>
      </c>
      <c r="F30" s="3">
        <v>163</v>
      </c>
      <c r="G30">
        <v>168</v>
      </c>
      <c r="H30" t="s">
        <v>470</v>
      </c>
      <c r="I30" s="6">
        <v>38.422699999999999</v>
      </c>
      <c r="J30" s="6">
        <v>39.99864667915886</v>
      </c>
      <c r="K30" s="5">
        <v>0.96060000000000001</v>
      </c>
      <c r="L30" s="3">
        <v>190</v>
      </c>
      <c r="M30">
        <v>139</v>
      </c>
      <c r="N30">
        <v>107.322</v>
      </c>
      <c r="O30" s="5">
        <v>1.2951999999999999</v>
      </c>
      <c r="P30" s="3">
        <v>67</v>
      </c>
      <c r="Q30">
        <v>203</v>
      </c>
      <c r="R30">
        <v>961</v>
      </c>
      <c r="S30" s="5">
        <v>0.21123829344432882</v>
      </c>
      <c r="T30" s="5">
        <v>0.2399889723293897</v>
      </c>
      <c r="U30" s="5">
        <v>0.88019999999999998</v>
      </c>
      <c r="V30" s="3">
        <v>102</v>
      </c>
      <c r="W30" s="5">
        <v>0.98022789780461983</v>
      </c>
      <c r="X30" s="3">
        <v>231</v>
      </c>
      <c r="Y30">
        <v>9.0475999999999992</v>
      </c>
      <c r="Z30" s="3">
        <v>172</v>
      </c>
      <c r="AA30">
        <v>14</v>
      </c>
      <c r="AB30">
        <v>141</v>
      </c>
      <c r="AC30" s="5">
        <v>9.9290780141843976E-2</v>
      </c>
      <c r="AD30" s="5">
        <v>0.1</v>
      </c>
      <c r="AE30" s="5">
        <v>0.9929</v>
      </c>
      <c r="AF30" s="3">
        <v>113</v>
      </c>
      <c r="AG30" s="5">
        <v>0.214062</v>
      </c>
      <c r="AH30" s="5">
        <v>0.4</v>
      </c>
      <c r="AI30" s="5">
        <v>0.53520000000000001</v>
      </c>
      <c r="AJ30" s="3">
        <v>288</v>
      </c>
      <c r="AK30">
        <v>22</v>
      </c>
      <c r="AL30">
        <v>37</v>
      </c>
      <c r="AM30" s="5">
        <v>0.59459459459459463</v>
      </c>
      <c r="AN30" s="5">
        <v>0.8</v>
      </c>
      <c r="AO30" s="5">
        <v>0.74319999999999997</v>
      </c>
      <c r="AP30" s="3">
        <v>281</v>
      </c>
    </row>
    <row r="31" spans="1:42">
      <c r="A31" s="4" t="str">
        <f>_xlfn.XLOOKUP(Table1[[#This Row],[SAP]],'Location List'!B:B,'Location List'!G:G)</f>
        <v>CENTRAL TEXAS</v>
      </c>
      <c r="B31" s="4" t="str">
        <f>LEFT(Table1[[#This Row],[Sap: Loaction]],4)</f>
        <v>1FSC</v>
      </c>
      <c r="C31" t="s">
        <v>505</v>
      </c>
      <c r="D31" t="s">
        <v>543</v>
      </c>
      <c r="E31" s="3">
        <v>3</v>
      </c>
      <c r="F31" s="3">
        <v>163</v>
      </c>
      <c r="G31">
        <v>168</v>
      </c>
      <c r="H31" t="s">
        <v>470</v>
      </c>
      <c r="I31" s="6">
        <v>44.598399999999998</v>
      </c>
      <c r="J31" s="6">
        <v>39.998565022421523</v>
      </c>
      <c r="K31" s="5">
        <v>1.115</v>
      </c>
      <c r="L31" s="3">
        <v>127</v>
      </c>
      <c r="M31">
        <v>199</v>
      </c>
      <c r="N31">
        <v>144.684</v>
      </c>
      <c r="O31" s="5">
        <v>1.3754</v>
      </c>
      <c r="P31" s="3">
        <v>46</v>
      </c>
      <c r="Q31">
        <v>334</v>
      </c>
      <c r="R31">
        <v>1396</v>
      </c>
      <c r="S31" s="5">
        <v>0.23925501432664756</v>
      </c>
      <c r="T31" s="5">
        <v>0.2399990112615584</v>
      </c>
      <c r="U31" s="5">
        <v>0.99690000000000001</v>
      </c>
      <c r="V31" s="3">
        <v>56</v>
      </c>
      <c r="W31" s="5">
        <v>0.96614614671913901</v>
      </c>
      <c r="X31" s="3">
        <v>240</v>
      </c>
      <c r="Y31">
        <v>7.4687999999999999</v>
      </c>
      <c r="Z31" s="3">
        <v>340</v>
      </c>
      <c r="AA31">
        <v>19</v>
      </c>
      <c r="AB31">
        <v>253</v>
      </c>
      <c r="AC31" s="5">
        <v>7.5098814229249009E-2</v>
      </c>
      <c r="AD31" s="5">
        <v>0.1</v>
      </c>
      <c r="AE31" s="5">
        <v>0.751</v>
      </c>
      <c r="AF31" s="3">
        <v>171</v>
      </c>
      <c r="AG31" s="5">
        <v>0.21956733333333334</v>
      </c>
      <c r="AH31" s="5">
        <v>0.4</v>
      </c>
      <c r="AI31" s="5">
        <v>0.54890000000000005</v>
      </c>
      <c r="AJ31" s="3">
        <v>279</v>
      </c>
      <c r="AK31">
        <v>39</v>
      </c>
      <c r="AL31">
        <v>55</v>
      </c>
      <c r="AM31" s="5">
        <v>0.70909090909090911</v>
      </c>
      <c r="AN31" s="5">
        <v>0.8</v>
      </c>
      <c r="AO31" s="5">
        <v>0.88639999999999997</v>
      </c>
      <c r="AP31" s="3">
        <v>221</v>
      </c>
    </row>
    <row r="32" spans="1:42">
      <c r="A32" s="4" t="str">
        <f>_xlfn.XLOOKUP(Table1[[#This Row],[SAP]],'Location List'!B:B,'Location List'!G:G)</f>
        <v>WEST TEXAS</v>
      </c>
      <c r="B32" s="4" t="str">
        <f>LEFT(Table1[[#This Row],[Sap: Loaction]],4)</f>
        <v>1LSS</v>
      </c>
      <c r="C32" t="s">
        <v>505</v>
      </c>
      <c r="D32" t="s">
        <v>556</v>
      </c>
      <c r="E32" s="3">
        <v>3</v>
      </c>
      <c r="F32" s="3">
        <v>166</v>
      </c>
      <c r="G32">
        <v>168.5</v>
      </c>
      <c r="H32" t="s">
        <v>470</v>
      </c>
      <c r="I32" s="6">
        <v>30.5459</v>
      </c>
      <c r="J32" s="6">
        <v>35.001604216798441</v>
      </c>
      <c r="K32" s="5">
        <v>0.87270000000000003</v>
      </c>
      <c r="L32" s="3">
        <v>233</v>
      </c>
      <c r="M32">
        <v>118</v>
      </c>
      <c r="N32">
        <v>117.654</v>
      </c>
      <c r="O32" s="5">
        <v>1.0028999999999999</v>
      </c>
      <c r="P32" s="3">
        <v>180</v>
      </c>
      <c r="Q32">
        <v>172</v>
      </c>
      <c r="R32">
        <v>836</v>
      </c>
      <c r="S32" s="5">
        <v>0.20574162679425836</v>
      </c>
      <c r="T32" s="5">
        <v>0.23998790014494153</v>
      </c>
      <c r="U32" s="5">
        <v>0.85729999999999995</v>
      </c>
      <c r="V32" s="3">
        <v>111</v>
      </c>
      <c r="W32" s="5">
        <v>1.3122927036544239</v>
      </c>
      <c r="X32" s="3">
        <v>103</v>
      </c>
      <c r="Y32">
        <v>8.6443999999999992</v>
      </c>
      <c r="Z32" s="3">
        <v>254</v>
      </c>
      <c r="AA32">
        <v>11</v>
      </c>
      <c r="AB32">
        <v>151</v>
      </c>
      <c r="AC32" s="5">
        <v>7.2847682119205295E-2</v>
      </c>
      <c r="AD32" s="5">
        <v>0.1</v>
      </c>
      <c r="AE32" s="5">
        <v>0.72850000000000004</v>
      </c>
      <c r="AF32" s="3">
        <v>182</v>
      </c>
      <c r="AG32" s="5">
        <v>0.40234233333333336</v>
      </c>
      <c r="AH32" s="5">
        <v>0.4</v>
      </c>
      <c r="AI32" s="5">
        <v>1.0059</v>
      </c>
      <c r="AJ32" s="3">
        <v>56</v>
      </c>
      <c r="AK32">
        <v>20</v>
      </c>
      <c r="AL32">
        <v>28</v>
      </c>
      <c r="AM32" s="5">
        <v>0.7142857142857143</v>
      </c>
      <c r="AN32" s="5">
        <v>0.8</v>
      </c>
      <c r="AO32" s="5">
        <v>0.89290000000000003</v>
      </c>
      <c r="AP32" s="3">
        <v>213</v>
      </c>
    </row>
    <row r="33" spans="1:42">
      <c r="A33" s="4" t="str">
        <f>_xlfn.XLOOKUP(Table1[[#This Row],[SAP]],'Location List'!B:B,'Location List'!G:G)</f>
        <v>MO/IA/NE</v>
      </c>
      <c r="B33" s="4" t="str">
        <f>LEFT(Table1[[#This Row],[Sap: Loaction]],4)</f>
        <v>4ASN</v>
      </c>
      <c r="C33" t="s">
        <v>505</v>
      </c>
      <c r="D33" t="s">
        <v>563</v>
      </c>
      <c r="E33" s="3">
        <v>3</v>
      </c>
      <c r="F33" s="3">
        <v>166</v>
      </c>
      <c r="G33">
        <v>168.5</v>
      </c>
      <c r="H33" t="s">
        <v>470</v>
      </c>
      <c r="I33" s="6">
        <v>56.596299999999999</v>
      </c>
      <c r="J33" s="6">
        <v>40.000212029118664</v>
      </c>
      <c r="K33" s="5">
        <v>1.4149</v>
      </c>
      <c r="L33" s="3">
        <v>40</v>
      </c>
      <c r="M33">
        <v>309</v>
      </c>
      <c r="N33">
        <v>224.976</v>
      </c>
      <c r="O33" s="5">
        <v>1.3734999999999999</v>
      </c>
      <c r="P33" s="3">
        <v>47</v>
      </c>
      <c r="Q33">
        <v>435</v>
      </c>
      <c r="R33">
        <v>2791</v>
      </c>
      <c r="S33" s="5">
        <v>0.15585811537083483</v>
      </c>
      <c r="T33" s="5">
        <v>0.24000325742352147</v>
      </c>
      <c r="U33" s="5">
        <v>0.64939999999999998</v>
      </c>
      <c r="V33" s="3">
        <v>259</v>
      </c>
      <c r="W33" s="5">
        <v>1.2736410143623853</v>
      </c>
      <c r="X33" s="3">
        <v>121</v>
      </c>
      <c r="Y33">
        <v>9.4713999999999992</v>
      </c>
      <c r="Z33" s="3">
        <v>67</v>
      </c>
      <c r="AA33">
        <v>5</v>
      </c>
      <c r="AB33">
        <v>197</v>
      </c>
      <c r="AC33" s="5">
        <v>2.5380710659898477E-2</v>
      </c>
      <c r="AD33" s="5">
        <v>0.1</v>
      </c>
      <c r="AE33" s="5">
        <v>0.25380000000000003</v>
      </c>
      <c r="AF33" s="3">
        <v>298</v>
      </c>
      <c r="AG33" s="5">
        <v>0.17583133333333334</v>
      </c>
      <c r="AH33" s="5">
        <v>0.4</v>
      </c>
      <c r="AI33" s="5">
        <v>0.43959999999999999</v>
      </c>
      <c r="AJ33" s="3">
        <v>327</v>
      </c>
      <c r="AK33">
        <v>44</v>
      </c>
      <c r="AL33">
        <v>60</v>
      </c>
      <c r="AM33" s="5">
        <v>0.73333333333333328</v>
      </c>
      <c r="AN33" s="5">
        <v>0.8</v>
      </c>
      <c r="AO33" s="5">
        <v>0.91669999999999996</v>
      </c>
      <c r="AP33" s="3">
        <v>204</v>
      </c>
    </row>
    <row r="34" spans="1:42">
      <c r="A34" s="4" t="str">
        <f>_xlfn.XLOOKUP(Table1[[#This Row],[SAP]],'Location List'!B:B,'Location List'!G:G)</f>
        <v>SA SOUTH</v>
      </c>
      <c r="B34" s="4" t="str">
        <f>LEFT(Table1[[#This Row],[Sap: Loaction]],4)</f>
        <v>2074</v>
      </c>
      <c r="C34" t="s">
        <v>505</v>
      </c>
      <c r="D34" t="s">
        <v>530</v>
      </c>
      <c r="E34" s="3">
        <v>3</v>
      </c>
      <c r="F34" s="3">
        <v>169</v>
      </c>
      <c r="G34">
        <v>169.3</v>
      </c>
      <c r="H34" t="s">
        <v>470</v>
      </c>
      <c r="I34" s="6">
        <v>40.720799999999997</v>
      </c>
      <c r="J34" s="6">
        <v>40.000785854616893</v>
      </c>
      <c r="K34" s="5">
        <v>1.018</v>
      </c>
      <c r="L34" s="3">
        <v>162</v>
      </c>
      <c r="M34">
        <v>132</v>
      </c>
      <c r="N34">
        <v>167.74100000000001</v>
      </c>
      <c r="O34" s="5">
        <v>0.78690000000000004</v>
      </c>
      <c r="P34" s="3">
        <v>272</v>
      </c>
      <c r="Q34">
        <v>213</v>
      </c>
      <c r="R34">
        <v>1444</v>
      </c>
      <c r="S34" s="5">
        <v>0.14750692520775624</v>
      </c>
      <c r="T34" s="5">
        <v>0.24000475953100592</v>
      </c>
      <c r="U34" s="5">
        <v>0.61460000000000004</v>
      </c>
      <c r="V34" s="3">
        <v>278</v>
      </c>
      <c r="W34" s="5">
        <v>1.1553073092073922</v>
      </c>
      <c r="X34" s="3">
        <v>162</v>
      </c>
      <c r="Y34">
        <v>9.5908999999999995</v>
      </c>
      <c r="Z34" s="3">
        <v>47</v>
      </c>
      <c r="AA34">
        <v>10</v>
      </c>
      <c r="AB34">
        <v>85</v>
      </c>
      <c r="AC34" s="5">
        <v>0.11764705882352941</v>
      </c>
      <c r="AD34" s="5">
        <v>0.1</v>
      </c>
      <c r="AE34" s="5">
        <v>1.1765000000000001</v>
      </c>
      <c r="AF34" s="3">
        <v>86</v>
      </c>
      <c r="AG34" s="5">
        <v>0.33438200000000001</v>
      </c>
      <c r="AH34" s="5">
        <v>0.4</v>
      </c>
      <c r="AI34" s="5">
        <v>0.83599999999999997</v>
      </c>
      <c r="AJ34" s="3">
        <v>131</v>
      </c>
      <c r="AK34">
        <v>28</v>
      </c>
      <c r="AL34">
        <v>35</v>
      </c>
      <c r="AM34" s="5">
        <v>0.8</v>
      </c>
      <c r="AN34" s="5">
        <v>0.8</v>
      </c>
      <c r="AO34" s="5">
        <v>1</v>
      </c>
      <c r="AP34" s="3">
        <v>156</v>
      </c>
    </row>
    <row r="35" spans="1:42">
      <c r="A35" s="4" t="str">
        <f>_xlfn.XLOOKUP(Table1[[#This Row],[SAP]],'Location List'!B:B,'Location List'!G:G)</f>
        <v>SA SOUTH</v>
      </c>
      <c r="B35" s="4" t="str">
        <f>LEFT(Table1[[#This Row],[Sap: Loaction]],4)</f>
        <v>221D</v>
      </c>
      <c r="C35" t="s">
        <v>505</v>
      </c>
      <c r="D35" t="s">
        <v>540</v>
      </c>
      <c r="E35" s="3">
        <v>3</v>
      </c>
      <c r="F35" s="3">
        <v>176</v>
      </c>
      <c r="G35">
        <v>173.15</v>
      </c>
      <c r="H35" t="s">
        <v>470</v>
      </c>
      <c r="I35" s="6">
        <v>50.5764</v>
      </c>
      <c r="J35" s="6">
        <v>40.000316355583678</v>
      </c>
      <c r="K35" s="5">
        <v>1.2644</v>
      </c>
      <c r="L35" s="3">
        <v>71</v>
      </c>
      <c r="M35">
        <v>110</v>
      </c>
      <c r="N35">
        <v>132.76300000000001</v>
      </c>
      <c r="O35" s="5">
        <v>0.82850000000000001</v>
      </c>
      <c r="P35" s="3">
        <v>252</v>
      </c>
      <c r="Q35">
        <v>216</v>
      </c>
      <c r="R35">
        <v>1422</v>
      </c>
      <c r="S35" s="5">
        <v>0.15189873417721519</v>
      </c>
      <c r="T35" s="5">
        <v>0.2400043200777614</v>
      </c>
      <c r="U35" s="5">
        <v>0.63290000000000002</v>
      </c>
      <c r="V35" s="3">
        <v>268</v>
      </c>
      <c r="W35" s="5">
        <v>0.87935440484196392</v>
      </c>
      <c r="X35" s="3">
        <v>278</v>
      </c>
      <c r="Y35">
        <v>9.8234999999999992</v>
      </c>
      <c r="Z35" s="3">
        <v>24</v>
      </c>
      <c r="AA35">
        <v>13</v>
      </c>
      <c r="AB35">
        <v>184</v>
      </c>
      <c r="AC35" s="5">
        <v>7.0652173913043473E-2</v>
      </c>
      <c r="AD35" s="5">
        <v>0.1</v>
      </c>
      <c r="AE35" s="5">
        <v>0.70650000000000002</v>
      </c>
      <c r="AF35" s="3">
        <v>186</v>
      </c>
      <c r="AG35" s="5">
        <v>0.33484900000000001</v>
      </c>
      <c r="AH35" s="5">
        <v>0.4</v>
      </c>
      <c r="AI35" s="5">
        <v>0.83709999999999996</v>
      </c>
      <c r="AJ35" s="3">
        <v>129</v>
      </c>
      <c r="AK35">
        <v>35</v>
      </c>
      <c r="AL35">
        <v>42</v>
      </c>
      <c r="AM35" s="5">
        <v>0.83333333333333337</v>
      </c>
      <c r="AN35" s="5">
        <v>0.8</v>
      </c>
      <c r="AO35" s="5">
        <v>1.0417000000000001</v>
      </c>
      <c r="AP35" s="3">
        <v>135</v>
      </c>
    </row>
    <row r="36" spans="1:42">
      <c r="A36" s="4" t="str">
        <f>_xlfn.XLOOKUP(Table1[[#This Row],[SAP]],'Location List'!B:B,'Location List'!G:G)</f>
        <v>DFW EAST</v>
      </c>
      <c r="B36" s="4" t="str">
        <f>LEFT(Table1[[#This Row],[Sap: Loaction]],4)</f>
        <v>6ESH</v>
      </c>
      <c r="C36" t="s">
        <v>505</v>
      </c>
      <c r="D36" t="s">
        <v>567</v>
      </c>
      <c r="E36" s="3">
        <v>3</v>
      </c>
      <c r="F36" s="3">
        <v>177</v>
      </c>
      <c r="G36">
        <v>173.2</v>
      </c>
      <c r="H36" t="s">
        <v>470</v>
      </c>
      <c r="I36" s="6">
        <v>37.017099999999999</v>
      </c>
      <c r="J36" s="6">
        <v>40.001188675167491</v>
      </c>
      <c r="K36" s="5">
        <v>0.9254</v>
      </c>
      <c r="L36" s="3">
        <v>215</v>
      </c>
      <c r="M36">
        <v>194</v>
      </c>
      <c r="N36">
        <v>192.38399999999999</v>
      </c>
      <c r="O36" s="5">
        <v>1.0084</v>
      </c>
      <c r="P36" s="3">
        <v>177</v>
      </c>
      <c r="Q36">
        <v>303</v>
      </c>
      <c r="R36">
        <v>1712</v>
      </c>
      <c r="S36" s="5">
        <v>0.17698598130841123</v>
      </c>
      <c r="T36" s="5">
        <v>0.24001353581287119</v>
      </c>
      <c r="U36" s="5">
        <v>0.73740000000000006</v>
      </c>
      <c r="V36" s="3">
        <v>187</v>
      </c>
      <c r="W36" s="5">
        <v>1.0970420995892325</v>
      </c>
      <c r="X36" s="3">
        <v>187</v>
      </c>
      <c r="Y36">
        <v>9.2833000000000006</v>
      </c>
      <c r="Z36" s="3">
        <v>110</v>
      </c>
      <c r="AA36">
        <v>24</v>
      </c>
      <c r="AB36">
        <v>348</v>
      </c>
      <c r="AC36" s="5">
        <v>6.8965517241379309E-2</v>
      </c>
      <c r="AD36" s="5">
        <v>0.1</v>
      </c>
      <c r="AE36" s="5">
        <v>0.68969999999999998</v>
      </c>
      <c r="AF36" s="3">
        <v>189</v>
      </c>
      <c r="AG36" s="5">
        <v>0.33532833333333328</v>
      </c>
      <c r="AH36" s="5">
        <v>0.4</v>
      </c>
      <c r="AI36" s="5">
        <v>0.83830000000000005</v>
      </c>
      <c r="AJ36" s="3">
        <v>128</v>
      </c>
      <c r="AK36">
        <v>41</v>
      </c>
      <c r="AL36">
        <v>51</v>
      </c>
      <c r="AM36" s="5">
        <v>0.80392156862745101</v>
      </c>
      <c r="AN36" s="5">
        <v>0.8</v>
      </c>
      <c r="AO36" s="5">
        <v>1.0048999999999999</v>
      </c>
      <c r="AP36" s="3">
        <v>155</v>
      </c>
    </row>
    <row r="37" spans="1:42">
      <c r="A37" s="4" t="str">
        <f>_xlfn.XLOOKUP(Table1[[#This Row],[SAP]],'Location List'!B:B,'Location List'!G:G)</f>
        <v>SOUTH TX/RGV</v>
      </c>
      <c r="B37" s="4" t="str">
        <f>LEFT(Table1[[#This Row],[Sap: Loaction]],4)</f>
        <v>374E</v>
      </c>
      <c r="C37" t="s">
        <v>505</v>
      </c>
      <c r="D37" t="s">
        <v>520</v>
      </c>
      <c r="E37" s="3">
        <v>3</v>
      </c>
      <c r="F37" s="3">
        <v>178</v>
      </c>
      <c r="G37">
        <v>173.45</v>
      </c>
      <c r="H37" t="s">
        <v>470</v>
      </c>
      <c r="I37" s="6">
        <v>31.853200000000001</v>
      </c>
      <c r="J37" s="6">
        <v>29.999246562441137</v>
      </c>
      <c r="K37" s="5">
        <v>1.0618000000000001</v>
      </c>
      <c r="L37" s="3">
        <v>152</v>
      </c>
      <c r="M37">
        <v>72</v>
      </c>
      <c r="N37">
        <v>74.724999999999994</v>
      </c>
      <c r="O37" s="5">
        <v>0.96350000000000002</v>
      </c>
      <c r="P37" s="3">
        <v>193</v>
      </c>
      <c r="Q37">
        <v>99</v>
      </c>
      <c r="R37">
        <v>606</v>
      </c>
      <c r="S37" s="5">
        <v>0.16336633663366337</v>
      </c>
      <c r="T37" s="5">
        <v>0.2399975563885168</v>
      </c>
      <c r="U37" s="5">
        <v>0.68069999999999997</v>
      </c>
      <c r="V37" s="3">
        <v>233</v>
      </c>
      <c r="W37" s="5">
        <v>1.4230336222193942</v>
      </c>
      <c r="X37" s="3">
        <v>70</v>
      </c>
      <c r="Y37">
        <v>9.1111000000000004</v>
      </c>
      <c r="Z37" s="3">
        <v>155</v>
      </c>
      <c r="AA37">
        <v>10</v>
      </c>
      <c r="AB37">
        <v>118</v>
      </c>
      <c r="AC37" s="5">
        <v>8.4745762711864403E-2</v>
      </c>
      <c r="AD37" s="5">
        <v>0.1</v>
      </c>
      <c r="AE37" s="5">
        <v>0.84750000000000003</v>
      </c>
      <c r="AF37" s="3">
        <v>139</v>
      </c>
      <c r="AG37" s="5">
        <v>0.28174566666666667</v>
      </c>
      <c r="AH37" s="5">
        <v>0.4</v>
      </c>
      <c r="AI37" s="5">
        <v>0.70440000000000003</v>
      </c>
      <c r="AJ37" s="3">
        <v>210</v>
      </c>
      <c r="AK37">
        <v>12</v>
      </c>
      <c r="AL37">
        <v>17</v>
      </c>
      <c r="AM37" s="5">
        <v>0.70588235294117652</v>
      </c>
      <c r="AN37" s="5">
        <v>0.8</v>
      </c>
      <c r="AO37" s="5">
        <v>0.88239999999999996</v>
      </c>
      <c r="AP37" s="3">
        <v>224</v>
      </c>
    </row>
    <row r="38" spans="1:42">
      <c r="A38" s="4" t="str">
        <f>_xlfn.XLOOKUP(Table1[[#This Row],[SAP]],'Location List'!B:B,'Location List'!G:G)</f>
        <v>SOUTH TX/RGV</v>
      </c>
      <c r="B38" s="4" t="str">
        <f>LEFT(Table1[[#This Row],[Sap: Loaction]],4)</f>
        <v>200E</v>
      </c>
      <c r="C38" t="s">
        <v>505</v>
      </c>
      <c r="D38" t="s">
        <v>562</v>
      </c>
      <c r="E38" s="3">
        <v>3</v>
      </c>
      <c r="F38" s="3">
        <v>182</v>
      </c>
      <c r="G38">
        <v>175</v>
      </c>
      <c r="H38" t="s">
        <v>470</v>
      </c>
      <c r="I38" s="6">
        <v>32.799399999999999</v>
      </c>
      <c r="J38" s="6">
        <v>39.999268292682927</v>
      </c>
      <c r="K38" s="5">
        <v>0.82</v>
      </c>
      <c r="L38" s="3">
        <v>265</v>
      </c>
      <c r="M38">
        <v>126</v>
      </c>
      <c r="N38">
        <v>174.89400000000001</v>
      </c>
      <c r="O38" s="5">
        <v>0.72040000000000004</v>
      </c>
      <c r="P38" s="3">
        <v>298</v>
      </c>
      <c r="Q38">
        <v>215</v>
      </c>
      <c r="R38">
        <v>1055</v>
      </c>
      <c r="S38" s="5">
        <v>0.20379146919431279</v>
      </c>
      <c r="T38" s="5">
        <v>0.24000879660147545</v>
      </c>
      <c r="U38" s="5">
        <v>0.84909999999999997</v>
      </c>
      <c r="V38" s="3">
        <v>115</v>
      </c>
      <c r="W38" s="5">
        <v>1.2342365296028051</v>
      </c>
      <c r="X38" s="3">
        <v>144</v>
      </c>
      <c r="Y38">
        <v>9.1452000000000009</v>
      </c>
      <c r="Z38" s="3">
        <v>144</v>
      </c>
      <c r="AA38">
        <v>37</v>
      </c>
      <c r="AB38">
        <v>262</v>
      </c>
      <c r="AC38" s="5">
        <v>0.14122137404580154</v>
      </c>
      <c r="AD38" s="5">
        <v>0.1</v>
      </c>
      <c r="AE38" s="5">
        <v>1.4121999999999999</v>
      </c>
      <c r="AF38" s="3">
        <v>54</v>
      </c>
      <c r="AG38" s="5">
        <v>0.40517799999999998</v>
      </c>
      <c r="AH38" s="5">
        <v>0.4</v>
      </c>
      <c r="AI38" s="5">
        <v>1.0128999999999999</v>
      </c>
      <c r="AJ38" s="3">
        <v>52</v>
      </c>
      <c r="AK38">
        <v>14</v>
      </c>
      <c r="AL38">
        <v>27</v>
      </c>
      <c r="AM38" s="5">
        <v>0.51851851851851849</v>
      </c>
      <c r="AN38" s="5">
        <v>0.8</v>
      </c>
      <c r="AO38" s="5">
        <v>0.64810000000000001</v>
      </c>
      <c r="AP38" s="3">
        <v>312</v>
      </c>
    </row>
    <row r="39" spans="1:42">
      <c r="A39" s="4" t="str">
        <f>_xlfn.XLOOKUP(Table1[[#This Row],[SAP]],'Location List'!B:B,'Location List'!G:G)</f>
        <v>SA/HILL COUNTRY</v>
      </c>
      <c r="B39" s="4" t="str">
        <f>LEFT(Table1[[#This Row],[Sap: Loaction]],4)</f>
        <v>776D</v>
      </c>
      <c r="C39" t="s">
        <v>505</v>
      </c>
      <c r="D39" t="s">
        <v>534</v>
      </c>
      <c r="E39" s="3">
        <v>3</v>
      </c>
      <c r="F39" s="3">
        <v>184</v>
      </c>
      <c r="G39">
        <v>176</v>
      </c>
      <c r="H39" t="s">
        <v>470</v>
      </c>
      <c r="I39" s="6">
        <v>33.966799999999999</v>
      </c>
      <c r="J39" s="6">
        <v>34.999278722308084</v>
      </c>
      <c r="K39" s="5">
        <v>0.97050000000000003</v>
      </c>
      <c r="L39" s="3">
        <v>186</v>
      </c>
      <c r="M39">
        <v>106</v>
      </c>
      <c r="N39">
        <v>125.60299999999999</v>
      </c>
      <c r="O39" s="5">
        <v>0.84389999999999998</v>
      </c>
      <c r="P39" s="3">
        <v>244</v>
      </c>
      <c r="Q39">
        <v>173</v>
      </c>
      <c r="R39">
        <v>949</v>
      </c>
      <c r="S39" s="5">
        <v>0.18229715489989462</v>
      </c>
      <c r="T39" s="5">
        <v>0.23999098854646472</v>
      </c>
      <c r="U39" s="5">
        <v>0.75960000000000005</v>
      </c>
      <c r="V39" s="3">
        <v>165</v>
      </c>
      <c r="W39" s="5">
        <v>1.3063387663914769</v>
      </c>
      <c r="X39" s="3">
        <v>105</v>
      </c>
      <c r="Y39">
        <v>9.5832999999999995</v>
      </c>
      <c r="Z39" s="3">
        <v>48</v>
      </c>
      <c r="AA39">
        <v>19</v>
      </c>
      <c r="AB39">
        <v>159</v>
      </c>
      <c r="AC39" s="5">
        <v>0.11949685534591195</v>
      </c>
      <c r="AD39" s="5">
        <v>0.1</v>
      </c>
      <c r="AE39" s="5">
        <v>1.1950000000000001</v>
      </c>
      <c r="AF39" s="3">
        <v>81</v>
      </c>
      <c r="AG39" s="5">
        <v>0.14738533333333334</v>
      </c>
      <c r="AH39" s="5">
        <v>0.4</v>
      </c>
      <c r="AI39" s="5">
        <v>0.36849999999999999</v>
      </c>
      <c r="AJ39" s="3">
        <v>344</v>
      </c>
      <c r="AK39">
        <v>15</v>
      </c>
      <c r="AL39">
        <v>22</v>
      </c>
      <c r="AM39" s="5">
        <v>0.68181818181818177</v>
      </c>
      <c r="AN39" s="5">
        <v>0.8</v>
      </c>
      <c r="AO39" s="5">
        <v>0.85229999999999995</v>
      </c>
      <c r="AP39" s="3">
        <v>249</v>
      </c>
    </row>
    <row r="40" spans="1:42">
      <c r="A40" s="4" t="str">
        <f>_xlfn.XLOOKUP(Table1[[#This Row],[SAP]],'Location List'!B:B,'Location List'!G:G)</f>
        <v>SA SOUTH</v>
      </c>
      <c r="B40" s="4" t="str">
        <f>LEFT(Table1[[#This Row],[Sap: Loaction]],4)</f>
        <v>4723</v>
      </c>
      <c r="C40" t="s">
        <v>505</v>
      </c>
      <c r="D40" t="s">
        <v>553</v>
      </c>
      <c r="E40" s="3">
        <v>3</v>
      </c>
      <c r="F40" s="3">
        <v>185</v>
      </c>
      <c r="G40">
        <v>177.3</v>
      </c>
      <c r="H40" t="s">
        <v>470</v>
      </c>
      <c r="I40" s="6">
        <v>32.479399999999998</v>
      </c>
      <c r="J40" s="6">
        <v>39.999261083743839</v>
      </c>
      <c r="K40" s="5">
        <v>0.81200000000000006</v>
      </c>
      <c r="L40" s="3">
        <v>270</v>
      </c>
      <c r="M40">
        <v>163</v>
      </c>
      <c r="N40">
        <v>167.739</v>
      </c>
      <c r="O40" s="5">
        <v>0.97170000000000001</v>
      </c>
      <c r="P40" s="3">
        <v>188</v>
      </c>
      <c r="Q40">
        <v>241</v>
      </c>
      <c r="R40">
        <v>1056</v>
      </c>
      <c r="S40" s="5">
        <v>0.22821969696969696</v>
      </c>
      <c r="T40" s="5">
        <v>0.24000388786381005</v>
      </c>
      <c r="U40" s="5">
        <v>0.95089999999999997</v>
      </c>
      <c r="V40" s="3">
        <v>70</v>
      </c>
      <c r="W40" s="5">
        <v>0.91663223908317226</v>
      </c>
      <c r="X40" s="3">
        <v>262</v>
      </c>
      <c r="Y40">
        <v>9.3030000000000008</v>
      </c>
      <c r="Z40" s="3">
        <v>107</v>
      </c>
      <c r="AA40">
        <v>16</v>
      </c>
      <c r="AB40">
        <v>165</v>
      </c>
      <c r="AC40" s="5">
        <v>9.696969696969697E-2</v>
      </c>
      <c r="AD40" s="5">
        <v>0.1</v>
      </c>
      <c r="AE40" s="5">
        <v>0.96970000000000001</v>
      </c>
      <c r="AF40" s="3">
        <v>118</v>
      </c>
      <c r="AG40" s="5">
        <v>0.27014500000000002</v>
      </c>
      <c r="AH40" s="5">
        <v>0.4</v>
      </c>
      <c r="AI40" s="5">
        <v>0.6754</v>
      </c>
      <c r="AJ40" s="3">
        <v>224</v>
      </c>
      <c r="AK40">
        <v>26</v>
      </c>
      <c r="AL40">
        <v>36</v>
      </c>
      <c r="AM40" s="5">
        <v>0.72222222222222221</v>
      </c>
      <c r="AN40" s="5">
        <v>0.8</v>
      </c>
      <c r="AO40" s="5">
        <v>0.90280000000000005</v>
      </c>
      <c r="AP40" s="3">
        <v>211</v>
      </c>
    </row>
    <row r="41" spans="1:42">
      <c r="A41" s="4" t="str">
        <f>_xlfn.XLOOKUP(Table1[[#This Row],[SAP]],'Location List'!B:B,'Location List'!G:G)</f>
        <v>CENTRAL TEXAS</v>
      </c>
      <c r="B41" s="4" t="str">
        <f>LEFT(Table1[[#This Row],[Sap: Loaction]],4)</f>
        <v>1FSU</v>
      </c>
      <c r="C41" t="s">
        <v>505</v>
      </c>
      <c r="D41" t="s">
        <v>542</v>
      </c>
      <c r="E41" s="3">
        <v>3</v>
      </c>
      <c r="F41" s="3">
        <v>189</v>
      </c>
      <c r="G41">
        <v>178.4</v>
      </c>
      <c r="H41" t="s">
        <v>470</v>
      </c>
      <c r="I41" s="6">
        <v>26.112500000000001</v>
      </c>
      <c r="J41" s="6">
        <v>30.000574448529413</v>
      </c>
      <c r="K41" s="5">
        <v>0.87039999999999995</v>
      </c>
      <c r="L41" s="3">
        <v>235</v>
      </c>
      <c r="M41">
        <v>59</v>
      </c>
      <c r="N41">
        <v>69.957999999999998</v>
      </c>
      <c r="O41" s="5">
        <v>0.84340000000000004</v>
      </c>
      <c r="P41" s="3">
        <v>245</v>
      </c>
      <c r="Q41">
        <v>108</v>
      </c>
      <c r="R41">
        <v>691</v>
      </c>
      <c r="S41" s="5">
        <v>0.15629522431259044</v>
      </c>
      <c r="T41" s="5">
        <v>0.24001109384611555</v>
      </c>
      <c r="U41" s="5">
        <v>0.6512</v>
      </c>
      <c r="V41" s="3">
        <v>255</v>
      </c>
      <c r="W41" s="5">
        <v>1.5383978154219076</v>
      </c>
      <c r="X41" s="3">
        <v>44</v>
      </c>
      <c r="Y41">
        <v>9.6667000000000005</v>
      </c>
      <c r="Z41" s="3">
        <v>35</v>
      </c>
      <c r="AA41">
        <v>12</v>
      </c>
      <c r="AB41">
        <v>163</v>
      </c>
      <c r="AC41" s="5">
        <v>7.3619631901840496E-2</v>
      </c>
      <c r="AD41" s="5">
        <v>0.1</v>
      </c>
      <c r="AE41" s="5">
        <v>0.73619999999999997</v>
      </c>
      <c r="AF41" s="3">
        <v>177</v>
      </c>
      <c r="AG41" s="5">
        <v>0.22307633333333332</v>
      </c>
      <c r="AH41" s="5">
        <v>0.4</v>
      </c>
      <c r="AI41" s="5">
        <v>0.55769999999999997</v>
      </c>
      <c r="AJ41" s="3">
        <v>276</v>
      </c>
      <c r="AK41">
        <v>13</v>
      </c>
      <c r="AL41">
        <v>14</v>
      </c>
      <c r="AM41" s="5">
        <v>0.9285714285714286</v>
      </c>
      <c r="AN41" s="5">
        <v>0.8</v>
      </c>
      <c r="AO41" s="5">
        <v>1.1607000000000001</v>
      </c>
      <c r="AP41" s="3">
        <v>61</v>
      </c>
    </row>
    <row r="42" spans="1:42">
      <c r="A42" s="4" t="str">
        <f>_xlfn.XLOOKUP(Table1[[#This Row],[SAP]],'Location List'!B:B,'Location List'!G:G)</f>
        <v>DFW EAST</v>
      </c>
      <c r="B42" s="4" t="str">
        <f>LEFT(Table1[[#This Row],[Sap: Loaction]],4)</f>
        <v>2536</v>
      </c>
      <c r="C42" t="s">
        <v>505</v>
      </c>
      <c r="D42" t="s">
        <v>551</v>
      </c>
      <c r="E42" s="3">
        <v>3</v>
      </c>
      <c r="F42" s="3">
        <v>193</v>
      </c>
      <c r="G42">
        <v>182.2</v>
      </c>
      <c r="H42" t="s">
        <v>470</v>
      </c>
      <c r="I42" s="6">
        <v>39.6008</v>
      </c>
      <c r="J42" s="6">
        <v>40.000808080808078</v>
      </c>
      <c r="K42" s="5">
        <v>0.99</v>
      </c>
      <c r="L42" s="3">
        <v>173</v>
      </c>
      <c r="M42">
        <v>382</v>
      </c>
      <c r="N42">
        <v>325.94099999999997</v>
      </c>
      <c r="O42" s="5">
        <v>1.1719999999999999</v>
      </c>
      <c r="P42" s="3">
        <v>110</v>
      </c>
      <c r="Q42">
        <v>473</v>
      </c>
      <c r="R42">
        <v>2814</v>
      </c>
      <c r="S42" s="5">
        <v>0.16808813077469795</v>
      </c>
      <c r="T42" s="5">
        <v>0.23998876466975719</v>
      </c>
      <c r="U42" s="5">
        <v>0.70040000000000002</v>
      </c>
      <c r="V42" s="3">
        <v>212</v>
      </c>
      <c r="W42" s="5">
        <v>0.74846610053185791</v>
      </c>
      <c r="X42" s="3">
        <v>322</v>
      </c>
      <c r="Y42">
        <v>9.6969999999999992</v>
      </c>
      <c r="Z42" s="3">
        <v>32</v>
      </c>
      <c r="AA42">
        <v>15</v>
      </c>
      <c r="AB42">
        <v>289</v>
      </c>
      <c r="AC42" s="5">
        <v>5.1903114186851208E-2</v>
      </c>
      <c r="AD42" s="5">
        <v>0.1</v>
      </c>
      <c r="AE42" s="5">
        <v>0.51900000000000002</v>
      </c>
      <c r="AF42" s="3">
        <v>225</v>
      </c>
      <c r="AG42" s="5">
        <v>0.24703733333333333</v>
      </c>
      <c r="AH42" s="5">
        <v>0.4</v>
      </c>
      <c r="AI42" s="5">
        <v>0.61760000000000004</v>
      </c>
      <c r="AJ42" s="3">
        <v>250</v>
      </c>
      <c r="AK42">
        <v>48</v>
      </c>
      <c r="AL42">
        <v>58</v>
      </c>
      <c r="AM42" s="5">
        <v>0.82758620689655171</v>
      </c>
      <c r="AN42" s="5">
        <v>0.8</v>
      </c>
      <c r="AO42" s="5">
        <v>1.0345</v>
      </c>
      <c r="AP42" s="3">
        <v>138</v>
      </c>
    </row>
    <row r="43" spans="1:42">
      <c r="A43" s="4" t="str">
        <f>_xlfn.XLOOKUP(Table1[[#This Row],[SAP]],'Location List'!B:B,'Location List'!G:G)</f>
        <v>DFW NORTH</v>
      </c>
      <c r="B43" s="4" t="str">
        <f>LEFT(Table1[[#This Row],[Sap: Loaction]],4)</f>
        <v>1BSE</v>
      </c>
      <c r="C43" t="s">
        <v>505</v>
      </c>
      <c r="D43" t="s">
        <v>564</v>
      </c>
      <c r="E43" s="3">
        <v>3</v>
      </c>
      <c r="F43" s="3">
        <v>194</v>
      </c>
      <c r="G43">
        <v>182.4</v>
      </c>
      <c r="H43" t="s">
        <v>470</v>
      </c>
      <c r="I43" s="6">
        <v>33.630099999999999</v>
      </c>
      <c r="J43" s="6">
        <v>39.99774024738344</v>
      </c>
      <c r="K43" s="5">
        <v>0.84079999999999999</v>
      </c>
      <c r="L43" s="3">
        <v>257</v>
      </c>
      <c r="M43">
        <v>138</v>
      </c>
      <c r="N43">
        <v>116.861</v>
      </c>
      <c r="O43" s="5">
        <v>1.1809000000000001</v>
      </c>
      <c r="P43" s="3">
        <v>101</v>
      </c>
      <c r="Q43">
        <v>200</v>
      </c>
      <c r="R43">
        <v>1101</v>
      </c>
      <c r="S43" s="5">
        <v>0.18165304268846502</v>
      </c>
      <c r="T43" s="5">
        <v>0.23999609286360815</v>
      </c>
      <c r="U43" s="5">
        <v>0.75690000000000002</v>
      </c>
      <c r="V43" s="3">
        <v>170</v>
      </c>
      <c r="W43" s="5">
        <v>0.88323969357135457</v>
      </c>
      <c r="X43" s="3">
        <v>274</v>
      </c>
      <c r="Y43">
        <v>9.1765000000000008</v>
      </c>
      <c r="Z43" s="3">
        <v>137</v>
      </c>
      <c r="AA43">
        <v>10</v>
      </c>
      <c r="AB43">
        <v>187</v>
      </c>
      <c r="AC43" s="5">
        <v>5.3475935828877004E-2</v>
      </c>
      <c r="AD43" s="5">
        <v>0.1</v>
      </c>
      <c r="AE43" s="5">
        <v>0.53480000000000005</v>
      </c>
      <c r="AF43" s="3">
        <v>222</v>
      </c>
      <c r="AG43" s="5">
        <v>0.29931266666666667</v>
      </c>
      <c r="AH43" s="5">
        <v>0.4</v>
      </c>
      <c r="AI43" s="5">
        <v>0.74829999999999997</v>
      </c>
      <c r="AJ43" s="3">
        <v>194</v>
      </c>
      <c r="AK43">
        <v>15</v>
      </c>
      <c r="AL43">
        <v>17</v>
      </c>
      <c r="AM43" s="5">
        <v>0.88235294117647056</v>
      </c>
      <c r="AN43" s="5">
        <v>0.8</v>
      </c>
      <c r="AO43" s="5">
        <v>1.1029</v>
      </c>
      <c r="AP43" s="3">
        <v>94</v>
      </c>
    </row>
    <row r="44" spans="1:42">
      <c r="A44" s="4" t="str">
        <f>_xlfn.XLOOKUP(Table1[[#This Row],[SAP]],'Location List'!B:B,'Location List'!G:G)</f>
        <v>MO/IA/NE</v>
      </c>
      <c r="B44" s="4" t="str">
        <f>LEFT(Table1[[#This Row],[Sap: Loaction]],4)</f>
        <v>3ISS</v>
      </c>
      <c r="C44" t="s">
        <v>505</v>
      </c>
      <c r="D44" t="s">
        <v>580</v>
      </c>
      <c r="E44" s="3">
        <v>3</v>
      </c>
      <c r="F44" s="3">
        <v>196</v>
      </c>
      <c r="G44">
        <v>183.55</v>
      </c>
      <c r="H44" t="s">
        <v>470</v>
      </c>
      <c r="I44" s="6">
        <v>37.935899999999997</v>
      </c>
      <c r="J44" s="6">
        <v>30.000711743772239</v>
      </c>
      <c r="K44" s="5">
        <v>1.2645</v>
      </c>
      <c r="L44" s="3">
        <v>70</v>
      </c>
      <c r="M44">
        <v>154</v>
      </c>
      <c r="N44">
        <v>85.06</v>
      </c>
      <c r="O44" s="5">
        <v>1.8105</v>
      </c>
      <c r="P44" s="3">
        <v>9</v>
      </c>
      <c r="Q44">
        <v>237</v>
      </c>
      <c r="R44">
        <v>2033</v>
      </c>
      <c r="S44" s="5">
        <v>0.11657648794884408</v>
      </c>
      <c r="T44" s="5">
        <v>0.24001747570278789</v>
      </c>
      <c r="U44" s="5">
        <v>0.48570000000000002</v>
      </c>
      <c r="V44" s="3">
        <v>344</v>
      </c>
      <c r="W44" s="5">
        <v>1.3620222586639101</v>
      </c>
      <c r="X44" s="3">
        <v>91</v>
      </c>
      <c r="Y44">
        <v>9.26</v>
      </c>
      <c r="Z44" s="3">
        <v>118</v>
      </c>
      <c r="AA44">
        <v>2</v>
      </c>
      <c r="AB44">
        <v>93</v>
      </c>
      <c r="AC44" s="5">
        <v>2.1505376344086023E-2</v>
      </c>
      <c r="AD44" s="5">
        <v>0.1</v>
      </c>
      <c r="AE44" s="5">
        <v>0.21510000000000001</v>
      </c>
      <c r="AF44" s="3">
        <v>310</v>
      </c>
      <c r="AG44" s="5">
        <v>0.23108266666666666</v>
      </c>
      <c r="AH44" s="5">
        <v>0.4</v>
      </c>
      <c r="AI44" s="5">
        <v>0.57769999999999999</v>
      </c>
      <c r="AJ44" s="3">
        <v>266</v>
      </c>
      <c r="AK44">
        <v>11</v>
      </c>
      <c r="AL44">
        <v>17</v>
      </c>
      <c r="AM44" s="5">
        <v>0.6470588235294118</v>
      </c>
      <c r="AN44" s="5">
        <v>0.8</v>
      </c>
      <c r="AO44" s="5">
        <v>0.80879999999999996</v>
      </c>
      <c r="AP44" s="3">
        <v>261</v>
      </c>
    </row>
    <row r="45" spans="1:42">
      <c r="A45" s="4" t="str">
        <f>_xlfn.XLOOKUP(Table1[[#This Row],[SAP]],'Location List'!B:B,'Location List'!G:G)</f>
        <v>CENTRAL TEXAS</v>
      </c>
      <c r="B45" s="4" t="str">
        <f>LEFT(Table1[[#This Row],[Sap: Loaction]],4)</f>
        <v>961F</v>
      </c>
      <c r="C45" t="s">
        <v>505</v>
      </c>
      <c r="D45" t="s">
        <v>566</v>
      </c>
      <c r="E45" s="3">
        <v>3</v>
      </c>
      <c r="F45" s="3">
        <v>200</v>
      </c>
      <c r="G45">
        <v>189.8</v>
      </c>
      <c r="H45" t="s">
        <v>470</v>
      </c>
      <c r="I45" s="6">
        <v>21.764299999999999</v>
      </c>
      <c r="J45" s="6">
        <v>35.002090704406555</v>
      </c>
      <c r="K45" s="5">
        <v>0.62180000000000002</v>
      </c>
      <c r="L45" s="3">
        <v>331</v>
      </c>
      <c r="M45">
        <v>103</v>
      </c>
      <c r="N45">
        <v>66.778000000000006</v>
      </c>
      <c r="O45" s="5">
        <v>1.5424</v>
      </c>
      <c r="P45" s="3">
        <v>26</v>
      </c>
      <c r="Q45">
        <v>135</v>
      </c>
      <c r="R45">
        <v>483</v>
      </c>
      <c r="S45" s="5">
        <v>0.27950310559006208</v>
      </c>
      <c r="T45" s="5">
        <v>0.23999923200245754</v>
      </c>
      <c r="U45" s="5">
        <v>1.1646000000000001</v>
      </c>
      <c r="V45" s="3">
        <v>20</v>
      </c>
      <c r="W45" s="5">
        <v>1.7678855074306328</v>
      </c>
      <c r="X45" s="3">
        <v>18</v>
      </c>
      <c r="Y45">
        <v>8.1364000000000001</v>
      </c>
      <c r="Z45" s="3">
        <v>308</v>
      </c>
      <c r="AA45">
        <v>4</v>
      </c>
      <c r="AB45">
        <v>84</v>
      </c>
      <c r="AC45" s="5">
        <v>4.7619047619047616E-2</v>
      </c>
      <c r="AD45" s="5">
        <v>0.1</v>
      </c>
      <c r="AE45" s="5">
        <v>0.47620000000000001</v>
      </c>
      <c r="AF45" s="3">
        <v>235</v>
      </c>
      <c r="AG45" s="5">
        <v>0.18809500000000001</v>
      </c>
      <c r="AH45" s="5">
        <v>0.4</v>
      </c>
      <c r="AI45" s="5">
        <v>0.47020000000000001</v>
      </c>
      <c r="AJ45" s="3">
        <v>314</v>
      </c>
      <c r="AK45">
        <v>4</v>
      </c>
      <c r="AL45">
        <v>10</v>
      </c>
      <c r="AM45" s="5">
        <v>0.4</v>
      </c>
      <c r="AN45" s="5">
        <v>0.8</v>
      </c>
      <c r="AO45" s="5">
        <v>0.5</v>
      </c>
      <c r="AP45" s="3">
        <v>340</v>
      </c>
    </row>
    <row r="46" spans="1:42">
      <c r="A46" s="4" t="str">
        <f>_xlfn.XLOOKUP(Table1[[#This Row],[SAP]],'Location List'!B:B,'Location List'!G:G)</f>
        <v>DFW NORTH</v>
      </c>
      <c r="B46" s="4" t="str">
        <f>LEFT(Table1[[#This Row],[Sap: Loaction]],4)</f>
        <v>904E</v>
      </c>
      <c r="C46" t="s">
        <v>505</v>
      </c>
      <c r="D46" t="s">
        <v>544</v>
      </c>
      <c r="E46" s="3">
        <v>3</v>
      </c>
      <c r="F46" s="3">
        <v>202</v>
      </c>
      <c r="G46">
        <v>190.3</v>
      </c>
      <c r="H46" t="s">
        <v>470</v>
      </c>
      <c r="I46" s="6">
        <v>33.462299999999999</v>
      </c>
      <c r="J46" s="6">
        <v>34.998744901160968</v>
      </c>
      <c r="K46" s="5">
        <v>0.95609999999999995</v>
      </c>
      <c r="L46" s="3">
        <v>196</v>
      </c>
      <c r="M46">
        <v>100</v>
      </c>
      <c r="N46">
        <v>120.831</v>
      </c>
      <c r="O46" s="5">
        <v>0.8276</v>
      </c>
      <c r="P46" s="3">
        <v>253</v>
      </c>
      <c r="Q46">
        <v>156</v>
      </c>
      <c r="R46">
        <v>954</v>
      </c>
      <c r="S46" s="5">
        <v>0.16352201257861634</v>
      </c>
      <c r="T46" s="5">
        <v>0.24001469628448016</v>
      </c>
      <c r="U46" s="5">
        <v>0.68130000000000002</v>
      </c>
      <c r="V46" s="3">
        <v>232</v>
      </c>
      <c r="W46" s="5">
        <v>1.0811083015571383</v>
      </c>
      <c r="X46" s="3">
        <v>196</v>
      </c>
      <c r="Y46">
        <v>8.9524000000000008</v>
      </c>
      <c r="Z46" s="3">
        <v>188</v>
      </c>
      <c r="AA46">
        <v>10</v>
      </c>
      <c r="AB46">
        <v>118</v>
      </c>
      <c r="AC46" s="5">
        <v>8.4745762711864403E-2</v>
      </c>
      <c r="AD46" s="5">
        <v>0.1</v>
      </c>
      <c r="AE46" s="5">
        <v>0.84750000000000003</v>
      </c>
      <c r="AF46" s="3">
        <v>139</v>
      </c>
      <c r="AG46" s="5">
        <v>0.33148133333333335</v>
      </c>
      <c r="AH46" s="5">
        <v>0.4</v>
      </c>
      <c r="AI46" s="5">
        <v>0.82869999999999999</v>
      </c>
      <c r="AJ46" s="3">
        <v>133</v>
      </c>
      <c r="AK46">
        <v>32</v>
      </c>
      <c r="AL46">
        <v>40</v>
      </c>
      <c r="AM46" s="5">
        <v>0.8</v>
      </c>
      <c r="AN46" s="5">
        <v>0.8</v>
      </c>
      <c r="AO46" s="5">
        <v>1</v>
      </c>
      <c r="AP46" s="3">
        <v>156</v>
      </c>
    </row>
    <row r="47" spans="1:42">
      <c r="A47" s="4" t="str">
        <f>_xlfn.XLOOKUP(Table1[[#This Row],[SAP]],'Location List'!B:B,'Location List'!G:G)</f>
        <v>DFW EAST</v>
      </c>
      <c r="B47" s="4" t="str">
        <f>LEFT(Table1[[#This Row],[Sap: Loaction]],4)</f>
        <v>2819</v>
      </c>
      <c r="C47" t="s">
        <v>505</v>
      </c>
      <c r="D47" t="s">
        <v>573</v>
      </c>
      <c r="E47" s="3">
        <v>3</v>
      </c>
      <c r="F47" s="3">
        <v>203</v>
      </c>
      <c r="G47">
        <v>190.4</v>
      </c>
      <c r="H47" t="s">
        <v>470</v>
      </c>
      <c r="I47" s="6">
        <v>26.403500000000001</v>
      </c>
      <c r="J47" s="6">
        <v>39.999242539009245</v>
      </c>
      <c r="K47" s="5">
        <v>0.66010000000000002</v>
      </c>
      <c r="L47" s="3">
        <v>323</v>
      </c>
      <c r="M47">
        <v>254</v>
      </c>
      <c r="N47">
        <v>191.58600000000001</v>
      </c>
      <c r="O47" s="5">
        <v>1.3258000000000001</v>
      </c>
      <c r="P47" s="3">
        <v>59</v>
      </c>
      <c r="Q47">
        <v>373</v>
      </c>
      <c r="R47">
        <v>1912</v>
      </c>
      <c r="S47" s="5">
        <v>0.1950836820083682</v>
      </c>
      <c r="T47" s="5">
        <v>0.24001437254966562</v>
      </c>
      <c r="U47" s="5">
        <v>0.81279999999999997</v>
      </c>
      <c r="V47" s="3">
        <v>134</v>
      </c>
      <c r="W47" s="5">
        <v>1.0959148063863118</v>
      </c>
      <c r="X47" s="3">
        <v>188</v>
      </c>
      <c r="Y47">
        <v>8.9062999999999999</v>
      </c>
      <c r="Z47" s="3">
        <v>198</v>
      </c>
      <c r="AA47">
        <v>18</v>
      </c>
      <c r="AB47">
        <v>269</v>
      </c>
      <c r="AC47" s="5">
        <v>6.6914498141263934E-2</v>
      </c>
      <c r="AD47" s="5">
        <v>0.1</v>
      </c>
      <c r="AE47" s="5">
        <v>0.66910000000000003</v>
      </c>
      <c r="AF47" s="3">
        <v>192</v>
      </c>
      <c r="AG47" s="5">
        <v>0.31327533333333335</v>
      </c>
      <c r="AH47" s="5">
        <v>0.4</v>
      </c>
      <c r="AI47" s="5">
        <v>0.78320000000000001</v>
      </c>
      <c r="AJ47" s="3">
        <v>170</v>
      </c>
      <c r="AK47">
        <v>31</v>
      </c>
      <c r="AL47">
        <v>53</v>
      </c>
      <c r="AM47" s="5">
        <v>0.58490566037735847</v>
      </c>
      <c r="AN47" s="5">
        <v>0.8</v>
      </c>
      <c r="AO47" s="5">
        <v>0.73109999999999997</v>
      </c>
      <c r="AP47" s="3">
        <v>286</v>
      </c>
    </row>
    <row r="48" spans="1:42">
      <c r="A48" s="4" t="str">
        <f>_xlfn.XLOOKUP(Table1[[#This Row],[SAP]],'Location List'!B:B,'Location List'!G:G)</f>
        <v>WEST TEXAS</v>
      </c>
      <c r="B48" s="4" t="str">
        <f>LEFT(Table1[[#This Row],[Sap: Loaction]],4)</f>
        <v>1FSX</v>
      </c>
      <c r="C48" t="s">
        <v>505</v>
      </c>
      <c r="D48" t="s">
        <v>535</v>
      </c>
      <c r="E48" s="3">
        <v>3</v>
      </c>
      <c r="F48" s="3">
        <v>204</v>
      </c>
      <c r="G48">
        <v>190.65</v>
      </c>
      <c r="H48" t="s">
        <v>470</v>
      </c>
      <c r="I48" s="6">
        <v>23.107099999999999</v>
      </c>
      <c r="J48" s="6">
        <v>30.001428200467409</v>
      </c>
      <c r="K48" s="5">
        <v>0.7702</v>
      </c>
      <c r="L48" s="3">
        <v>286</v>
      </c>
      <c r="M48">
        <v>49</v>
      </c>
      <c r="N48">
        <v>58.030999999999999</v>
      </c>
      <c r="O48" s="5">
        <v>0.84440000000000004</v>
      </c>
      <c r="P48" s="3">
        <v>243</v>
      </c>
      <c r="Q48">
        <v>101</v>
      </c>
      <c r="R48">
        <v>536</v>
      </c>
      <c r="S48" s="5">
        <v>0.18843283582089551</v>
      </c>
      <c r="T48" s="5">
        <v>0.24001125438911669</v>
      </c>
      <c r="U48" s="5">
        <v>0.78510000000000002</v>
      </c>
      <c r="V48" s="3">
        <v>151</v>
      </c>
      <c r="W48" s="5">
        <v>0.76055992157871211</v>
      </c>
      <c r="X48" s="3">
        <v>316</v>
      </c>
      <c r="Y48">
        <v>10</v>
      </c>
      <c r="Z48" s="3">
        <v>1</v>
      </c>
      <c r="AA48">
        <v>6</v>
      </c>
      <c r="AB48">
        <v>74</v>
      </c>
      <c r="AC48" s="5">
        <v>8.1081081081081086E-2</v>
      </c>
      <c r="AD48" s="5">
        <v>0.1</v>
      </c>
      <c r="AE48" s="5">
        <v>0.81079999999999997</v>
      </c>
      <c r="AF48" s="3">
        <v>151</v>
      </c>
      <c r="AG48" s="5">
        <v>0.250836</v>
      </c>
      <c r="AH48" s="5">
        <v>0.4</v>
      </c>
      <c r="AI48" s="5">
        <v>0.62709999999999999</v>
      </c>
      <c r="AJ48" s="3">
        <v>245</v>
      </c>
      <c r="AK48">
        <v>7</v>
      </c>
      <c r="AL48">
        <v>8</v>
      </c>
      <c r="AM48" s="5">
        <v>0.875</v>
      </c>
      <c r="AN48" s="5">
        <v>0.8</v>
      </c>
      <c r="AO48" s="5">
        <v>1.0938000000000001</v>
      </c>
      <c r="AP48" s="3">
        <v>98</v>
      </c>
    </row>
    <row r="49" spans="1:42">
      <c r="A49" s="4" t="str">
        <f>_xlfn.XLOOKUP(Table1[[#This Row],[SAP]],'Location List'!B:B,'Location List'!G:G)</f>
        <v>DFW NORTH</v>
      </c>
      <c r="B49" s="4" t="str">
        <f>LEFT(Table1[[#This Row],[Sap: Loaction]],4)</f>
        <v>1CSD</v>
      </c>
      <c r="C49" t="s">
        <v>505</v>
      </c>
      <c r="D49" t="s">
        <v>527</v>
      </c>
      <c r="E49" s="3">
        <v>3</v>
      </c>
      <c r="F49" s="3">
        <v>205</v>
      </c>
      <c r="G49">
        <v>190.9</v>
      </c>
      <c r="H49" t="s">
        <v>470</v>
      </c>
      <c r="I49" s="6">
        <v>37.247900000000001</v>
      </c>
      <c r="J49" s="6">
        <v>35.000845705694417</v>
      </c>
      <c r="K49" s="5">
        <v>1.0642</v>
      </c>
      <c r="L49" s="3">
        <v>147</v>
      </c>
      <c r="M49">
        <v>116</v>
      </c>
      <c r="N49">
        <v>119.246</v>
      </c>
      <c r="O49" s="5">
        <v>0.9728</v>
      </c>
      <c r="P49" s="3">
        <v>186</v>
      </c>
      <c r="Q49">
        <v>157</v>
      </c>
      <c r="R49">
        <v>1017</v>
      </c>
      <c r="S49" s="5">
        <v>0.15437561455260571</v>
      </c>
      <c r="T49" s="5">
        <v>0.24001183854571784</v>
      </c>
      <c r="U49" s="5">
        <v>0.64319999999999999</v>
      </c>
      <c r="V49" s="3">
        <v>262</v>
      </c>
      <c r="W49" s="5">
        <v>1.2389296920851052</v>
      </c>
      <c r="X49" s="3">
        <v>142</v>
      </c>
      <c r="Y49">
        <v>9.5294000000000008</v>
      </c>
      <c r="Z49" s="3">
        <v>55</v>
      </c>
      <c r="AA49">
        <v>7</v>
      </c>
      <c r="AB49">
        <v>167</v>
      </c>
      <c r="AC49" s="5">
        <v>4.1916167664670656E-2</v>
      </c>
      <c r="AD49" s="5">
        <v>0.1</v>
      </c>
      <c r="AE49" s="5">
        <v>0.41920000000000002</v>
      </c>
      <c r="AF49" s="3">
        <v>253</v>
      </c>
      <c r="AG49" s="5">
        <v>0.35265666666666667</v>
      </c>
      <c r="AH49" s="5">
        <v>0.4</v>
      </c>
      <c r="AI49" s="5">
        <v>0.88160000000000005</v>
      </c>
      <c r="AJ49" s="3">
        <v>107</v>
      </c>
      <c r="AK49">
        <v>18</v>
      </c>
      <c r="AL49">
        <v>39</v>
      </c>
      <c r="AM49" s="5">
        <v>0.46153846153846156</v>
      </c>
      <c r="AN49" s="5">
        <v>0.8</v>
      </c>
      <c r="AO49" s="5">
        <v>0.57689999999999997</v>
      </c>
      <c r="AP49" s="3">
        <v>333</v>
      </c>
    </row>
    <row r="50" spans="1:42">
      <c r="A50" s="4" t="str">
        <f>_xlfn.XLOOKUP(Table1[[#This Row],[SAP]],'Location List'!B:B,'Location List'!G:G)</f>
        <v>MO/IA/NE</v>
      </c>
      <c r="B50" s="4" t="str">
        <f>LEFT(Table1[[#This Row],[Sap: Loaction]],4)</f>
        <v>3ISY</v>
      </c>
      <c r="C50" t="s">
        <v>505</v>
      </c>
      <c r="D50" t="s">
        <v>546</v>
      </c>
      <c r="E50" s="3">
        <v>3</v>
      </c>
      <c r="F50" s="3">
        <v>208</v>
      </c>
      <c r="G50">
        <v>192.25</v>
      </c>
      <c r="H50" t="s">
        <v>470</v>
      </c>
      <c r="I50" s="6">
        <v>37.0246</v>
      </c>
      <c r="J50" s="6">
        <v>40.000648228176317</v>
      </c>
      <c r="K50" s="5">
        <v>0.92559999999999998</v>
      </c>
      <c r="L50" s="3">
        <v>214</v>
      </c>
      <c r="M50">
        <v>120</v>
      </c>
      <c r="N50">
        <v>96.19</v>
      </c>
      <c r="O50" s="5">
        <v>1.2475000000000001</v>
      </c>
      <c r="P50" s="3">
        <v>78</v>
      </c>
      <c r="Q50">
        <v>173</v>
      </c>
      <c r="R50">
        <v>1500</v>
      </c>
      <c r="S50" s="5">
        <v>0.11533333333333333</v>
      </c>
      <c r="T50" s="5">
        <v>0.23997780552087666</v>
      </c>
      <c r="U50" s="5">
        <v>0.48060000000000003</v>
      </c>
      <c r="V50" s="3">
        <v>345</v>
      </c>
      <c r="W50" s="5">
        <v>0.84127019040720574</v>
      </c>
      <c r="X50" s="3">
        <v>291</v>
      </c>
      <c r="Y50">
        <v>9.4786999999999999</v>
      </c>
      <c r="Z50" s="3">
        <v>64</v>
      </c>
      <c r="AA50">
        <v>12</v>
      </c>
      <c r="AB50">
        <v>157</v>
      </c>
      <c r="AC50" s="5">
        <v>7.6433121019108277E-2</v>
      </c>
      <c r="AD50" s="5">
        <v>0.1</v>
      </c>
      <c r="AE50" s="5">
        <v>0.76429999999999998</v>
      </c>
      <c r="AF50" s="3">
        <v>164</v>
      </c>
      <c r="AG50" s="5">
        <v>0.27290833333333336</v>
      </c>
      <c r="AH50" s="5">
        <v>0.4</v>
      </c>
      <c r="AI50" s="5">
        <v>0.68230000000000002</v>
      </c>
      <c r="AJ50" s="3">
        <v>222</v>
      </c>
      <c r="AK50">
        <v>9</v>
      </c>
      <c r="AL50">
        <v>11</v>
      </c>
      <c r="AM50" s="5">
        <v>0.81818181818181823</v>
      </c>
      <c r="AN50" s="5">
        <v>0.8</v>
      </c>
      <c r="AO50" s="5">
        <v>1.0226999999999999</v>
      </c>
      <c r="AP50" s="3">
        <v>144</v>
      </c>
    </row>
    <row r="51" spans="1:42">
      <c r="A51" s="4" t="str">
        <f>_xlfn.XLOOKUP(Table1[[#This Row],[SAP]],'Location List'!B:B,'Location List'!G:G)</f>
        <v>CENTRAL TEXAS</v>
      </c>
      <c r="B51" s="4" t="str">
        <f>LEFT(Table1[[#This Row],[Sap: Loaction]],4)</f>
        <v>1FSI</v>
      </c>
      <c r="C51" t="s">
        <v>505</v>
      </c>
      <c r="D51" t="s">
        <v>538</v>
      </c>
      <c r="E51" s="3">
        <v>3</v>
      </c>
      <c r="F51" s="3">
        <v>212</v>
      </c>
      <c r="G51">
        <v>194.05</v>
      </c>
      <c r="H51" t="s">
        <v>470</v>
      </c>
      <c r="I51" s="6">
        <v>29.426500000000001</v>
      </c>
      <c r="J51" s="6">
        <v>34.998215984776408</v>
      </c>
      <c r="K51" s="5">
        <v>0.84079999999999999</v>
      </c>
      <c r="L51" s="3">
        <v>257</v>
      </c>
      <c r="M51">
        <v>75</v>
      </c>
      <c r="N51">
        <v>104.142</v>
      </c>
      <c r="O51" s="5">
        <v>0.72019999999999995</v>
      </c>
      <c r="P51" s="3">
        <v>299</v>
      </c>
      <c r="Q51">
        <v>143</v>
      </c>
      <c r="R51">
        <v>887</v>
      </c>
      <c r="S51" s="5">
        <v>0.16121758737316799</v>
      </c>
      <c r="T51" s="5">
        <v>0.24001427329636446</v>
      </c>
      <c r="U51" s="5">
        <v>0.67169999999999996</v>
      </c>
      <c r="V51" s="3">
        <v>240</v>
      </c>
      <c r="W51" s="5">
        <v>1.1056231153536276</v>
      </c>
      <c r="X51" s="3">
        <v>182</v>
      </c>
      <c r="Y51">
        <v>9.9535</v>
      </c>
      <c r="Z51" s="3">
        <v>9</v>
      </c>
      <c r="AA51">
        <v>5</v>
      </c>
      <c r="AB51">
        <v>82</v>
      </c>
      <c r="AC51" s="5">
        <v>6.097560975609756E-2</v>
      </c>
      <c r="AD51" s="5">
        <v>0.1</v>
      </c>
      <c r="AE51" s="5">
        <v>0.60980000000000001</v>
      </c>
      <c r="AF51" s="3">
        <v>207</v>
      </c>
      <c r="AG51" s="5">
        <v>0.31049599999999999</v>
      </c>
      <c r="AH51" s="5">
        <v>0.4</v>
      </c>
      <c r="AI51" s="5">
        <v>0.7762</v>
      </c>
      <c r="AJ51" s="3">
        <v>174</v>
      </c>
      <c r="AK51">
        <v>23</v>
      </c>
      <c r="AL51">
        <v>25</v>
      </c>
      <c r="AM51" s="5">
        <v>0.92</v>
      </c>
      <c r="AN51" s="5">
        <v>0.8</v>
      </c>
      <c r="AO51" s="5">
        <v>1.1499999999999999</v>
      </c>
      <c r="AP51" s="3">
        <v>71</v>
      </c>
    </row>
    <row r="52" spans="1:42">
      <c r="A52" s="4" t="str">
        <f>_xlfn.XLOOKUP(Table1[[#This Row],[SAP]],'Location List'!B:B,'Location List'!G:G)</f>
        <v>CENTRAL TEXAS</v>
      </c>
      <c r="B52" s="4" t="str">
        <f>LEFT(Table1[[#This Row],[Sap: Loaction]],4)</f>
        <v>1DSD</v>
      </c>
      <c r="C52" t="s">
        <v>505</v>
      </c>
      <c r="D52" t="s">
        <v>586</v>
      </c>
      <c r="E52" s="3">
        <v>4</v>
      </c>
      <c r="F52" s="3">
        <v>224</v>
      </c>
      <c r="G52">
        <v>196.7</v>
      </c>
      <c r="H52" t="s">
        <v>470</v>
      </c>
      <c r="I52" s="6">
        <v>27.677199999999999</v>
      </c>
      <c r="J52" s="6">
        <v>34.998988366211435</v>
      </c>
      <c r="K52" s="5">
        <v>0.79079999999999995</v>
      </c>
      <c r="L52" s="3">
        <v>279</v>
      </c>
      <c r="M52">
        <v>93</v>
      </c>
      <c r="N52">
        <v>96.986999999999995</v>
      </c>
      <c r="O52" s="5">
        <v>0.95889999999999997</v>
      </c>
      <c r="P52" s="3">
        <v>196</v>
      </c>
      <c r="Q52">
        <v>201</v>
      </c>
      <c r="R52">
        <v>1273</v>
      </c>
      <c r="S52" s="5">
        <v>0.15789473684210525</v>
      </c>
      <c r="T52" s="5">
        <v>0.23999808001535985</v>
      </c>
      <c r="U52" s="5">
        <v>0.65790000000000004</v>
      </c>
      <c r="V52" s="3">
        <v>250</v>
      </c>
      <c r="W52" s="5">
        <v>1.0713090854237466</v>
      </c>
      <c r="X52" s="3">
        <v>204</v>
      </c>
      <c r="Y52">
        <v>9.5635999999999992</v>
      </c>
      <c r="Z52" s="3">
        <v>53</v>
      </c>
      <c r="AA52">
        <v>16</v>
      </c>
      <c r="AB52">
        <v>221</v>
      </c>
      <c r="AC52" s="5">
        <v>7.2398190045248875E-2</v>
      </c>
      <c r="AD52" s="5">
        <v>0.1</v>
      </c>
      <c r="AE52" s="5">
        <v>0.72399999999999998</v>
      </c>
      <c r="AF52" s="3">
        <v>183</v>
      </c>
      <c r="AG52" s="5">
        <v>0.32716833333333334</v>
      </c>
      <c r="AH52" s="5">
        <v>0.4</v>
      </c>
      <c r="AI52" s="5">
        <v>0.81789999999999996</v>
      </c>
      <c r="AJ52" s="3">
        <v>144</v>
      </c>
      <c r="AK52">
        <v>22</v>
      </c>
      <c r="AL52">
        <v>30</v>
      </c>
      <c r="AM52" s="5">
        <v>0.73333333333333328</v>
      </c>
      <c r="AN52" s="5">
        <v>0.8</v>
      </c>
      <c r="AO52" s="5">
        <v>0.91669999999999996</v>
      </c>
      <c r="AP52" s="3">
        <v>204</v>
      </c>
    </row>
    <row r="53" spans="1:42">
      <c r="A53" s="4" t="str">
        <f>_xlfn.XLOOKUP(Table1[[#This Row],[SAP]],'Location List'!B:B,'Location List'!G:G)</f>
        <v>MO/IA/NE</v>
      </c>
      <c r="B53" s="4" t="str">
        <f>LEFT(Table1[[#This Row],[Sap: Loaction]],4)</f>
        <v>4ASP</v>
      </c>
      <c r="C53" t="s">
        <v>505</v>
      </c>
      <c r="D53" t="s">
        <v>555</v>
      </c>
      <c r="E53" s="3">
        <v>4</v>
      </c>
      <c r="F53" s="3">
        <v>230</v>
      </c>
      <c r="G53">
        <v>199.7</v>
      </c>
      <c r="H53" t="s">
        <v>470</v>
      </c>
      <c r="I53" s="6">
        <v>44.968400000000003</v>
      </c>
      <c r="J53" s="6">
        <v>40.000355808574987</v>
      </c>
      <c r="K53" s="5">
        <v>1.1242000000000001</v>
      </c>
      <c r="L53" s="3">
        <v>124</v>
      </c>
      <c r="M53">
        <v>152</v>
      </c>
      <c r="N53">
        <v>124.017</v>
      </c>
      <c r="O53" s="5">
        <v>1.2256</v>
      </c>
      <c r="P53" s="3">
        <v>84</v>
      </c>
      <c r="Q53">
        <v>205</v>
      </c>
      <c r="R53">
        <v>1382</v>
      </c>
      <c r="S53" s="5">
        <v>0.14833574529667148</v>
      </c>
      <c r="T53" s="5">
        <v>0.23998664503587039</v>
      </c>
      <c r="U53" s="5">
        <v>0.61809999999999998</v>
      </c>
      <c r="V53" s="3">
        <v>274</v>
      </c>
      <c r="W53" s="5">
        <v>1.3852020261082956</v>
      </c>
      <c r="X53" s="3">
        <v>83</v>
      </c>
      <c r="Y53">
        <v>8.5892999999999997</v>
      </c>
      <c r="Z53" s="3">
        <v>260</v>
      </c>
      <c r="AA53">
        <v>8</v>
      </c>
      <c r="AB53">
        <v>172</v>
      </c>
      <c r="AC53" s="5">
        <v>4.6511627906976744E-2</v>
      </c>
      <c r="AD53" s="5">
        <v>0.1</v>
      </c>
      <c r="AE53" s="5">
        <v>0.46510000000000001</v>
      </c>
      <c r="AF53" s="3">
        <v>238</v>
      </c>
      <c r="AG53" s="5">
        <v>0.25625766666666666</v>
      </c>
      <c r="AH53" s="5">
        <v>0.4</v>
      </c>
      <c r="AI53" s="5">
        <v>0.64059999999999995</v>
      </c>
      <c r="AJ53" s="3">
        <v>238</v>
      </c>
      <c r="AK53">
        <v>17</v>
      </c>
      <c r="AL53">
        <v>39</v>
      </c>
      <c r="AM53" s="5">
        <v>0.4358974358974359</v>
      </c>
      <c r="AN53" s="5">
        <v>0.8</v>
      </c>
      <c r="AO53" s="5">
        <v>0.54490000000000005</v>
      </c>
      <c r="AP53" s="3">
        <v>336</v>
      </c>
    </row>
    <row r="54" spans="1:42">
      <c r="A54" s="4" t="str">
        <f>_xlfn.XLOOKUP(Table1[[#This Row],[SAP]],'Location List'!B:B,'Location List'!G:G)</f>
        <v>SA/HILL COUNTRY</v>
      </c>
      <c r="B54" s="4" t="str">
        <f>LEFT(Table1[[#This Row],[Sap: Loaction]],4)</f>
        <v>583D</v>
      </c>
      <c r="C54" t="s">
        <v>505</v>
      </c>
      <c r="D54" t="s">
        <v>557</v>
      </c>
      <c r="E54" s="3">
        <v>4</v>
      </c>
      <c r="F54" s="3">
        <v>232</v>
      </c>
      <c r="G54">
        <v>201.25</v>
      </c>
      <c r="H54" t="s">
        <v>470</v>
      </c>
      <c r="I54" s="6">
        <v>30.1829</v>
      </c>
      <c r="J54" s="6">
        <v>39.998542274052475</v>
      </c>
      <c r="K54" s="5">
        <v>0.75460000000000005</v>
      </c>
      <c r="L54" s="3">
        <v>293</v>
      </c>
      <c r="M54">
        <v>112</v>
      </c>
      <c r="N54">
        <v>120.836</v>
      </c>
      <c r="O54" s="5">
        <v>0.92689999999999995</v>
      </c>
      <c r="P54" s="3">
        <v>210</v>
      </c>
      <c r="Q54">
        <v>215</v>
      </c>
      <c r="R54">
        <v>1181</v>
      </c>
      <c r="S54" s="5">
        <v>0.18204911092294665</v>
      </c>
      <c r="T54" s="5">
        <v>0.24001201176393758</v>
      </c>
      <c r="U54" s="5">
        <v>0.75849999999999995</v>
      </c>
      <c r="V54" s="3">
        <v>169</v>
      </c>
      <c r="W54" s="5">
        <v>1.3527063130971904</v>
      </c>
      <c r="X54" s="3">
        <v>93</v>
      </c>
      <c r="Y54">
        <v>9.6486000000000001</v>
      </c>
      <c r="Z54" s="3">
        <v>38</v>
      </c>
      <c r="AA54">
        <v>12</v>
      </c>
      <c r="AB54">
        <v>192</v>
      </c>
      <c r="AC54" s="5">
        <v>6.25E-2</v>
      </c>
      <c r="AD54" s="5">
        <v>0.1</v>
      </c>
      <c r="AE54" s="5">
        <v>0.625</v>
      </c>
      <c r="AF54" s="3">
        <v>201</v>
      </c>
      <c r="AG54" s="5">
        <v>0.20572366666666667</v>
      </c>
      <c r="AH54" s="5">
        <v>0.4</v>
      </c>
      <c r="AI54" s="5">
        <v>0.51429999999999998</v>
      </c>
      <c r="AJ54" s="3">
        <v>297</v>
      </c>
      <c r="AK54">
        <v>24</v>
      </c>
      <c r="AL54">
        <v>39</v>
      </c>
      <c r="AM54" s="5">
        <v>0.61538461538461542</v>
      </c>
      <c r="AN54" s="5">
        <v>0.8</v>
      </c>
      <c r="AO54" s="5">
        <v>0.76919999999999999</v>
      </c>
      <c r="AP54" s="3">
        <v>275</v>
      </c>
    </row>
    <row r="55" spans="1:42">
      <c r="A55" s="4" t="str">
        <f>_xlfn.XLOOKUP(Table1[[#This Row],[SAP]],'Location List'!B:B,'Location List'!G:G)</f>
        <v>DFW NORTH</v>
      </c>
      <c r="B55" s="4" t="str">
        <f>LEFT(Table1[[#This Row],[Sap: Loaction]],4)</f>
        <v>211E</v>
      </c>
      <c r="C55" t="s">
        <v>505</v>
      </c>
      <c r="D55" t="s">
        <v>576</v>
      </c>
      <c r="E55" s="3">
        <v>4</v>
      </c>
      <c r="F55" s="3">
        <v>236</v>
      </c>
      <c r="G55">
        <v>202.45</v>
      </c>
      <c r="H55" t="s">
        <v>470</v>
      </c>
      <c r="I55" s="6">
        <v>42.967399999999998</v>
      </c>
      <c r="J55" s="6">
        <v>35.001140436624304</v>
      </c>
      <c r="K55" s="5">
        <v>1.2276</v>
      </c>
      <c r="L55" s="3">
        <v>81</v>
      </c>
      <c r="M55">
        <v>113</v>
      </c>
      <c r="N55">
        <v>115.273</v>
      </c>
      <c r="O55" s="5">
        <v>0.98029999999999995</v>
      </c>
      <c r="P55" s="3">
        <v>185</v>
      </c>
      <c r="Q55">
        <v>178</v>
      </c>
      <c r="R55">
        <v>1336</v>
      </c>
      <c r="S55" s="5">
        <v>0.13323353293413173</v>
      </c>
      <c r="T55" s="5">
        <v>0.24001717336359524</v>
      </c>
      <c r="U55" s="5">
        <v>0.55510000000000004</v>
      </c>
      <c r="V55" s="3">
        <v>313</v>
      </c>
      <c r="W55" s="5">
        <v>1.0745608197215277</v>
      </c>
      <c r="X55" s="3">
        <v>200</v>
      </c>
      <c r="Y55">
        <v>8.8204999999999991</v>
      </c>
      <c r="Z55" s="3">
        <v>218</v>
      </c>
      <c r="AA55">
        <v>4</v>
      </c>
      <c r="AB55">
        <v>254</v>
      </c>
      <c r="AC55" s="5">
        <v>1.5748031496062992E-2</v>
      </c>
      <c r="AD55" s="5">
        <v>0.1</v>
      </c>
      <c r="AE55" s="5">
        <v>0.1575</v>
      </c>
      <c r="AF55" s="3">
        <v>330</v>
      </c>
      <c r="AG55" s="5">
        <v>0.29107133333333335</v>
      </c>
      <c r="AH55" s="5">
        <v>0.4</v>
      </c>
      <c r="AI55" s="5">
        <v>0.72770000000000001</v>
      </c>
      <c r="AJ55" s="3">
        <v>201</v>
      </c>
      <c r="AK55">
        <v>22</v>
      </c>
      <c r="AL55">
        <v>23</v>
      </c>
      <c r="AM55" s="5">
        <v>0.95652173913043481</v>
      </c>
      <c r="AN55" s="5">
        <v>0.8</v>
      </c>
      <c r="AO55" s="5">
        <v>1.1957</v>
      </c>
      <c r="AP55" s="3">
        <v>42</v>
      </c>
    </row>
    <row r="56" spans="1:42">
      <c r="A56" s="4" t="str">
        <f>_xlfn.XLOOKUP(Table1[[#This Row],[SAP]],'Location List'!B:B,'Location List'!G:G)</f>
        <v>DFW NORTH</v>
      </c>
      <c r="B56" s="4" t="str">
        <f>LEFT(Table1[[#This Row],[Sap: Loaction]],4)</f>
        <v>465D</v>
      </c>
      <c r="C56" t="s">
        <v>505</v>
      </c>
      <c r="D56" t="s">
        <v>570</v>
      </c>
      <c r="E56" s="3">
        <v>4</v>
      </c>
      <c r="F56" s="3">
        <v>237</v>
      </c>
      <c r="G56">
        <v>202.9</v>
      </c>
      <c r="H56" t="s">
        <v>470</v>
      </c>
      <c r="I56" s="6">
        <v>25.236499999999999</v>
      </c>
      <c r="J56" s="6">
        <v>40.000792518624188</v>
      </c>
      <c r="K56" s="5">
        <v>0.63090000000000002</v>
      </c>
      <c r="L56" s="3">
        <v>327</v>
      </c>
      <c r="M56">
        <v>141</v>
      </c>
      <c r="N56">
        <v>120.836</v>
      </c>
      <c r="O56" s="5">
        <v>1.1669</v>
      </c>
      <c r="P56" s="3">
        <v>113</v>
      </c>
      <c r="Q56">
        <v>234</v>
      </c>
      <c r="R56">
        <v>1199</v>
      </c>
      <c r="S56" s="5">
        <v>0.195162635529608</v>
      </c>
      <c r="T56" s="5">
        <v>0.23999340325824889</v>
      </c>
      <c r="U56" s="5">
        <v>0.81320000000000003</v>
      </c>
      <c r="V56" s="3">
        <v>133</v>
      </c>
      <c r="W56" s="5">
        <v>1.0578205494923143</v>
      </c>
      <c r="X56" s="3">
        <v>207</v>
      </c>
      <c r="Y56">
        <v>8.7879000000000005</v>
      </c>
      <c r="Z56" s="3">
        <v>223</v>
      </c>
      <c r="AA56">
        <v>8</v>
      </c>
      <c r="AB56">
        <v>269</v>
      </c>
      <c r="AC56" s="5">
        <v>2.9739776951672861E-2</v>
      </c>
      <c r="AD56" s="5">
        <v>0.1</v>
      </c>
      <c r="AE56" s="5">
        <v>0.2974</v>
      </c>
      <c r="AF56" s="3">
        <v>287</v>
      </c>
      <c r="AG56" s="5">
        <v>0.26122899999999999</v>
      </c>
      <c r="AH56" s="5">
        <v>0.4</v>
      </c>
      <c r="AI56" s="5">
        <v>0.65310000000000001</v>
      </c>
      <c r="AJ56" s="3">
        <v>229</v>
      </c>
      <c r="AK56">
        <v>38</v>
      </c>
      <c r="AL56">
        <v>42</v>
      </c>
      <c r="AM56" s="5">
        <v>0.90476190476190477</v>
      </c>
      <c r="AN56" s="5">
        <v>0.8</v>
      </c>
      <c r="AO56" s="5">
        <v>1.131</v>
      </c>
      <c r="AP56" s="3">
        <v>80</v>
      </c>
    </row>
    <row r="57" spans="1:42">
      <c r="A57" s="4" t="str">
        <f>_xlfn.XLOOKUP(Table1[[#This Row],[SAP]],'Location List'!B:B,'Location List'!G:G)</f>
        <v>WEST TEXAS</v>
      </c>
      <c r="B57" s="4" t="str">
        <f>LEFT(Table1[[#This Row],[Sap: Loaction]],4)</f>
        <v>930E</v>
      </c>
      <c r="C57" t="s">
        <v>505</v>
      </c>
      <c r="D57" t="s">
        <v>571</v>
      </c>
      <c r="E57" s="3">
        <v>4</v>
      </c>
      <c r="F57" s="3">
        <v>237</v>
      </c>
      <c r="G57">
        <v>202.9</v>
      </c>
      <c r="H57" t="s">
        <v>470</v>
      </c>
      <c r="I57" s="6">
        <v>38.848599999999998</v>
      </c>
      <c r="J57" s="6">
        <v>40.000617792421743</v>
      </c>
      <c r="K57" s="5">
        <v>0.97119999999999995</v>
      </c>
      <c r="L57" s="3">
        <v>185</v>
      </c>
      <c r="M57">
        <v>129</v>
      </c>
      <c r="N57">
        <v>160.58699999999999</v>
      </c>
      <c r="O57" s="5">
        <v>0.80330000000000001</v>
      </c>
      <c r="P57" s="3">
        <v>265</v>
      </c>
      <c r="Q57">
        <v>200</v>
      </c>
      <c r="R57">
        <v>1097</v>
      </c>
      <c r="S57" s="5">
        <v>0.18231540565177756</v>
      </c>
      <c r="T57" s="5">
        <v>0.24001501533935959</v>
      </c>
      <c r="U57" s="5">
        <v>0.75960000000000005</v>
      </c>
      <c r="V57" s="3">
        <v>165</v>
      </c>
      <c r="W57" s="5">
        <v>0.74997217294780127</v>
      </c>
      <c r="X57" s="3">
        <v>321</v>
      </c>
      <c r="Y57">
        <v>9.1081000000000003</v>
      </c>
      <c r="Z57" s="3">
        <v>157</v>
      </c>
      <c r="AA57">
        <v>15</v>
      </c>
      <c r="AB57">
        <v>149</v>
      </c>
      <c r="AC57" s="5">
        <v>0.10067114093959731</v>
      </c>
      <c r="AD57" s="5">
        <v>0.1</v>
      </c>
      <c r="AE57" s="5">
        <v>1.0066999999999999</v>
      </c>
      <c r="AF57" s="3">
        <v>109</v>
      </c>
      <c r="AG57" s="5">
        <v>0.32426933333333335</v>
      </c>
      <c r="AH57" s="5">
        <v>0.4</v>
      </c>
      <c r="AI57" s="5">
        <v>0.81069999999999998</v>
      </c>
      <c r="AJ57" s="3">
        <v>147</v>
      </c>
      <c r="AK57">
        <v>17</v>
      </c>
      <c r="AL57">
        <v>34</v>
      </c>
      <c r="AM57" s="5">
        <v>0.5</v>
      </c>
      <c r="AN57" s="5">
        <v>0.8</v>
      </c>
      <c r="AO57" s="5">
        <v>0.625</v>
      </c>
      <c r="AP57" s="3">
        <v>318</v>
      </c>
    </row>
    <row r="58" spans="1:42">
      <c r="A58" s="4" t="str">
        <f>_xlfn.XLOOKUP(Table1[[#This Row],[SAP]],'Location List'!B:B,'Location List'!G:G)</f>
        <v>WEST TEXAS</v>
      </c>
      <c r="B58" s="4" t="str">
        <f>LEFT(Table1[[#This Row],[Sap: Loaction]],4)</f>
        <v>903E</v>
      </c>
      <c r="C58" t="s">
        <v>505</v>
      </c>
      <c r="D58" t="s">
        <v>532</v>
      </c>
      <c r="E58" s="3">
        <v>4</v>
      </c>
      <c r="F58" s="3">
        <v>240</v>
      </c>
      <c r="G58">
        <v>205.2</v>
      </c>
      <c r="H58" t="s">
        <v>470</v>
      </c>
      <c r="I58" s="6">
        <v>27.927099999999999</v>
      </c>
      <c r="J58" s="6">
        <v>30.000107422924053</v>
      </c>
      <c r="K58" s="5">
        <v>0.93089999999999995</v>
      </c>
      <c r="L58" s="3">
        <v>211</v>
      </c>
      <c r="M58">
        <v>53</v>
      </c>
      <c r="N58">
        <v>65.186000000000007</v>
      </c>
      <c r="O58" s="5">
        <v>0.81310000000000004</v>
      </c>
      <c r="P58" s="3">
        <v>261</v>
      </c>
      <c r="Q58">
        <v>91</v>
      </c>
      <c r="R58">
        <v>663</v>
      </c>
      <c r="S58" s="5">
        <v>0.13725490196078433</v>
      </c>
      <c r="T58" s="5">
        <v>0.23999808001535991</v>
      </c>
      <c r="U58" s="5">
        <v>0.57189999999999996</v>
      </c>
      <c r="V58" s="3">
        <v>304</v>
      </c>
      <c r="W58" s="5">
        <v>2.2619053045510404</v>
      </c>
      <c r="X58" s="3">
        <v>3</v>
      </c>
      <c r="Y58">
        <v>8.6667000000000005</v>
      </c>
      <c r="Z58" s="3">
        <v>249</v>
      </c>
      <c r="AA58">
        <v>5</v>
      </c>
      <c r="AB58">
        <v>102</v>
      </c>
      <c r="AC58" s="5">
        <v>4.9019607843137254E-2</v>
      </c>
      <c r="AD58" s="5">
        <v>0.1</v>
      </c>
      <c r="AE58" s="5">
        <v>0.49020000000000002</v>
      </c>
      <c r="AF58" s="3">
        <v>234</v>
      </c>
      <c r="AG58" s="5">
        <v>0.31851833333333335</v>
      </c>
      <c r="AH58" s="5">
        <v>0.4</v>
      </c>
      <c r="AI58" s="5">
        <v>0.79630000000000001</v>
      </c>
      <c r="AJ58" s="3">
        <v>158</v>
      </c>
      <c r="AK58">
        <v>16</v>
      </c>
      <c r="AL58">
        <v>19</v>
      </c>
      <c r="AM58" s="5">
        <v>0.84210526315789469</v>
      </c>
      <c r="AN58" s="5">
        <v>0.8</v>
      </c>
      <c r="AO58" s="5">
        <v>1.0526</v>
      </c>
      <c r="AP58" s="3">
        <v>127</v>
      </c>
    </row>
    <row r="59" spans="1:42">
      <c r="A59" s="4" t="str">
        <f>_xlfn.XLOOKUP(Table1[[#This Row],[SAP]],'Location List'!B:B,'Location List'!G:G)</f>
        <v>KS/OK</v>
      </c>
      <c r="B59" s="4" t="str">
        <f>LEFT(Table1[[#This Row],[Sap: Loaction]],4)</f>
        <v>4320</v>
      </c>
      <c r="C59" t="s">
        <v>505</v>
      </c>
      <c r="D59" t="s">
        <v>539</v>
      </c>
      <c r="E59" s="3">
        <v>4</v>
      </c>
      <c r="F59" s="3">
        <v>244</v>
      </c>
      <c r="G59">
        <v>206.3</v>
      </c>
      <c r="H59" t="s">
        <v>470</v>
      </c>
      <c r="I59" s="6">
        <v>29.782499999999999</v>
      </c>
      <c r="J59" s="6">
        <v>39.997985495568088</v>
      </c>
      <c r="K59" s="5">
        <v>0.74460000000000004</v>
      </c>
      <c r="L59" s="3">
        <v>297</v>
      </c>
      <c r="M59">
        <v>117</v>
      </c>
      <c r="N59">
        <v>159.791</v>
      </c>
      <c r="O59" s="5">
        <v>0.73219999999999996</v>
      </c>
      <c r="P59" s="3">
        <v>292</v>
      </c>
      <c r="Q59">
        <v>173</v>
      </c>
      <c r="R59">
        <v>1035</v>
      </c>
      <c r="S59" s="5">
        <v>0.16714975845410629</v>
      </c>
      <c r="T59" s="5">
        <v>0.23998529569864507</v>
      </c>
      <c r="U59" s="5">
        <v>0.69650000000000001</v>
      </c>
      <c r="V59" s="3">
        <v>219</v>
      </c>
      <c r="W59" s="5">
        <v>0.47904375182851816</v>
      </c>
      <c r="X59" s="3">
        <v>352</v>
      </c>
      <c r="Y59">
        <v>9.4614999999999991</v>
      </c>
      <c r="Z59" s="3">
        <v>70</v>
      </c>
      <c r="AA59">
        <v>10</v>
      </c>
      <c r="AB59">
        <v>110</v>
      </c>
      <c r="AC59" s="5">
        <v>9.0909090909090912E-2</v>
      </c>
      <c r="AD59" s="5">
        <v>0.1</v>
      </c>
      <c r="AE59" s="5">
        <v>0.90910000000000002</v>
      </c>
      <c r="AF59" s="3">
        <v>126</v>
      </c>
      <c r="AG59" s="5">
        <v>0.30769200000000002</v>
      </c>
      <c r="AH59" s="5">
        <v>0.4</v>
      </c>
      <c r="AI59" s="5">
        <v>0.76919999999999999</v>
      </c>
      <c r="AJ59" s="3">
        <v>176</v>
      </c>
      <c r="AK59">
        <v>24</v>
      </c>
      <c r="AL59">
        <v>26</v>
      </c>
      <c r="AM59" s="5">
        <v>0.92307692307692313</v>
      </c>
      <c r="AN59" s="5">
        <v>0.8</v>
      </c>
      <c r="AO59" s="5">
        <v>1.1537999999999999</v>
      </c>
      <c r="AP59" s="3">
        <v>64</v>
      </c>
    </row>
    <row r="60" spans="1:42">
      <c r="A60" s="4" t="str">
        <f>_xlfn.XLOOKUP(Table1[[#This Row],[SAP]],'Location List'!B:B,'Location List'!G:G)</f>
        <v>DFW NORTH</v>
      </c>
      <c r="B60" s="4" t="str">
        <f>LEFT(Table1[[#This Row],[Sap: Loaction]],4)</f>
        <v>5429</v>
      </c>
      <c r="C60" t="s">
        <v>505</v>
      </c>
      <c r="D60" t="s">
        <v>595</v>
      </c>
      <c r="E60" s="3">
        <v>4</v>
      </c>
      <c r="F60" s="3">
        <v>248</v>
      </c>
      <c r="G60">
        <v>207.8</v>
      </c>
      <c r="H60" t="s">
        <v>470</v>
      </c>
      <c r="I60" s="6">
        <v>44.817</v>
      </c>
      <c r="J60" s="6">
        <v>40.000892538379148</v>
      </c>
      <c r="K60" s="5">
        <v>1.1204000000000001</v>
      </c>
      <c r="L60" s="3">
        <v>125</v>
      </c>
      <c r="M60">
        <v>180</v>
      </c>
      <c r="N60">
        <v>193.97200000000001</v>
      </c>
      <c r="O60" s="5">
        <v>0.92800000000000005</v>
      </c>
      <c r="P60" s="3">
        <v>208</v>
      </c>
      <c r="Q60">
        <v>297</v>
      </c>
      <c r="R60">
        <v>1672</v>
      </c>
      <c r="S60" s="5">
        <v>0.17763157894736842</v>
      </c>
      <c r="T60" s="5">
        <v>0.24001024043692532</v>
      </c>
      <c r="U60" s="5">
        <v>0.74009999999999998</v>
      </c>
      <c r="V60" s="3">
        <v>184</v>
      </c>
      <c r="W60" s="5">
        <v>1.0368567442788612</v>
      </c>
      <c r="X60" s="3">
        <v>216</v>
      </c>
      <c r="Y60">
        <v>9.4332999999999991</v>
      </c>
      <c r="Z60" s="3">
        <v>76</v>
      </c>
      <c r="AA60">
        <v>6</v>
      </c>
      <c r="AB60">
        <v>179</v>
      </c>
      <c r="AC60" s="5">
        <v>3.3519553072625698E-2</v>
      </c>
      <c r="AD60" s="5">
        <v>0.1</v>
      </c>
      <c r="AE60" s="5">
        <v>0.3352</v>
      </c>
      <c r="AF60" s="3">
        <v>273</v>
      </c>
      <c r="AG60" s="5">
        <v>0.21453333333333333</v>
      </c>
      <c r="AH60" s="5">
        <v>0.4</v>
      </c>
      <c r="AI60" s="5">
        <v>0.5363</v>
      </c>
      <c r="AJ60" s="3">
        <v>286</v>
      </c>
      <c r="AK60">
        <v>15</v>
      </c>
      <c r="AL60">
        <v>29</v>
      </c>
      <c r="AM60" s="5">
        <v>0.51724137931034486</v>
      </c>
      <c r="AN60" s="5">
        <v>0.8</v>
      </c>
      <c r="AO60" s="5">
        <v>0.64659999999999995</v>
      </c>
      <c r="AP60" s="3">
        <v>315</v>
      </c>
    </row>
    <row r="61" spans="1:42">
      <c r="A61" s="4" t="str">
        <f>_xlfn.XLOOKUP(Table1[[#This Row],[SAP]],'Location List'!B:B,'Location List'!G:G)</f>
        <v>DFW EAST</v>
      </c>
      <c r="B61" s="4" t="str">
        <f>LEFT(Table1[[#This Row],[Sap: Loaction]],4)</f>
        <v>0118</v>
      </c>
      <c r="C61" t="s">
        <v>505</v>
      </c>
      <c r="D61" t="s">
        <v>550</v>
      </c>
      <c r="E61" s="3">
        <v>4</v>
      </c>
      <c r="F61" s="3">
        <v>255</v>
      </c>
      <c r="G61">
        <v>213.95</v>
      </c>
      <c r="H61" t="s">
        <v>470</v>
      </c>
      <c r="I61" s="6">
        <v>45.418999999999997</v>
      </c>
      <c r="J61" s="6">
        <v>39.999119330691322</v>
      </c>
      <c r="K61" s="5">
        <v>1.1355</v>
      </c>
      <c r="L61" s="3">
        <v>120</v>
      </c>
      <c r="M61">
        <v>211</v>
      </c>
      <c r="N61">
        <v>196.36</v>
      </c>
      <c r="O61" s="5">
        <v>1.0746</v>
      </c>
      <c r="P61" s="3">
        <v>149</v>
      </c>
      <c r="Q61">
        <v>280</v>
      </c>
      <c r="R61">
        <v>1482</v>
      </c>
      <c r="S61" s="5">
        <v>0.18893387314439947</v>
      </c>
      <c r="T61" s="5">
        <v>0.24000746080335297</v>
      </c>
      <c r="U61" s="5">
        <v>0.78720000000000001</v>
      </c>
      <c r="V61" s="3">
        <v>150</v>
      </c>
      <c r="W61" s="5">
        <v>0.89091111049447846</v>
      </c>
      <c r="X61" s="3">
        <v>270</v>
      </c>
      <c r="Y61">
        <v>8.6774000000000004</v>
      </c>
      <c r="Z61" s="3">
        <v>248</v>
      </c>
      <c r="AA61">
        <v>2</v>
      </c>
      <c r="AB61">
        <v>223</v>
      </c>
      <c r="AC61" s="5">
        <v>8.9686098654708519E-3</v>
      </c>
      <c r="AD61" s="5">
        <v>0.1</v>
      </c>
      <c r="AE61" s="5">
        <v>8.9700000000000002E-2</v>
      </c>
      <c r="AF61" s="3">
        <v>342</v>
      </c>
      <c r="AG61" s="5">
        <v>0.20860999999999999</v>
      </c>
      <c r="AH61" s="5">
        <v>0.4</v>
      </c>
      <c r="AI61" s="5">
        <v>0.52149999999999996</v>
      </c>
      <c r="AJ61" s="3">
        <v>292</v>
      </c>
      <c r="AK61">
        <v>22</v>
      </c>
      <c r="AL61">
        <v>29</v>
      </c>
      <c r="AM61" s="5">
        <v>0.75862068965517238</v>
      </c>
      <c r="AN61" s="5">
        <v>0.8</v>
      </c>
      <c r="AO61" s="5">
        <v>0.94830000000000003</v>
      </c>
      <c r="AP61" s="3">
        <v>188</v>
      </c>
    </row>
    <row r="62" spans="1:42">
      <c r="A62" s="4" t="str">
        <f>_xlfn.XLOOKUP(Table1[[#This Row],[SAP]],'Location List'!B:B,'Location List'!G:G)</f>
        <v>KS/OK</v>
      </c>
      <c r="B62" s="4" t="str">
        <f>LEFT(Table1[[#This Row],[Sap: Loaction]],4)</f>
        <v>114E</v>
      </c>
      <c r="C62" t="s">
        <v>505</v>
      </c>
      <c r="D62" t="s">
        <v>590</v>
      </c>
      <c r="E62" s="3">
        <v>4</v>
      </c>
      <c r="F62" s="3">
        <v>258</v>
      </c>
      <c r="G62">
        <v>215.85</v>
      </c>
      <c r="H62" t="s">
        <v>470</v>
      </c>
      <c r="I62" s="6">
        <v>33.191000000000003</v>
      </c>
      <c r="J62" s="6">
        <v>35.000527259306125</v>
      </c>
      <c r="K62" s="5">
        <v>0.94830000000000003</v>
      </c>
      <c r="L62" s="3">
        <v>200</v>
      </c>
      <c r="M62">
        <v>135</v>
      </c>
      <c r="N62">
        <v>92.22</v>
      </c>
      <c r="O62" s="5">
        <v>1.4639</v>
      </c>
      <c r="P62" s="3">
        <v>37</v>
      </c>
      <c r="Q62">
        <v>179</v>
      </c>
      <c r="R62">
        <v>1057</v>
      </c>
      <c r="S62" s="5">
        <v>0.16934720908230841</v>
      </c>
      <c r="T62" s="5">
        <v>0.24000454801914456</v>
      </c>
      <c r="U62" s="5">
        <v>0.7056</v>
      </c>
      <c r="V62" s="3">
        <v>209</v>
      </c>
      <c r="W62" s="5">
        <v>0.68788397284436753</v>
      </c>
      <c r="X62" s="3">
        <v>333</v>
      </c>
      <c r="Y62">
        <v>8.4</v>
      </c>
      <c r="Z62" s="3">
        <v>293</v>
      </c>
      <c r="AA62">
        <v>8</v>
      </c>
      <c r="AB62">
        <v>148</v>
      </c>
      <c r="AC62" s="5">
        <v>5.4054054054054057E-2</v>
      </c>
      <c r="AD62" s="5">
        <v>0.1</v>
      </c>
      <c r="AE62" s="5">
        <v>0.54049999999999998</v>
      </c>
      <c r="AF62" s="3">
        <v>221</v>
      </c>
      <c r="AG62" s="5">
        <v>0.25417600000000001</v>
      </c>
      <c r="AH62" s="5">
        <v>0.4</v>
      </c>
      <c r="AI62" s="5">
        <v>0.63539999999999996</v>
      </c>
      <c r="AJ62" s="3">
        <v>240</v>
      </c>
      <c r="AK62">
        <v>4</v>
      </c>
      <c r="AL62">
        <v>7</v>
      </c>
      <c r="AM62" s="5">
        <v>0.5714285714285714</v>
      </c>
      <c r="AN62" s="5">
        <v>0.8</v>
      </c>
      <c r="AO62" s="5">
        <v>0.71430000000000005</v>
      </c>
      <c r="AP62" s="3">
        <v>292</v>
      </c>
    </row>
    <row r="63" spans="1:42">
      <c r="A63" s="4" t="str">
        <f>_xlfn.XLOOKUP(Table1[[#This Row],[SAP]],'Location List'!B:B,'Location List'!G:G)</f>
        <v>MO/IA/NE</v>
      </c>
      <c r="B63" s="4" t="str">
        <f>LEFT(Table1[[#This Row],[Sap: Loaction]],4)</f>
        <v>4BSR</v>
      </c>
      <c r="C63" t="s">
        <v>505</v>
      </c>
      <c r="D63" t="s">
        <v>577</v>
      </c>
      <c r="E63" s="3">
        <v>4</v>
      </c>
      <c r="F63" s="3">
        <v>259</v>
      </c>
      <c r="G63">
        <v>217.45</v>
      </c>
      <c r="H63" t="s">
        <v>470</v>
      </c>
      <c r="I63" s="6">
        <v>31.263400000000001</v>
      </c>
      <c r="J63" s="6">
        <v>35.001567398119121</v>
      </c>
      <c r="K63" s="5">
        <v>0.89319999999999999</v>
      </c>
      <c r="L63" s="3">
        <v>227</v>
      </c>
      <c r="M63">
        <v>81</v>
      </c>
      <c r="N63">
        <v>84.266999999999996</v>
      </c>
      <c r="O63" s="5">
        <v>0.96120000000000005</v>
      </c>
      <c r="P63" s="3">
        <v>195</v>
      </c>
      <c r="Q63">
        <v>141</v>
      </c>
      <c r="R63">
        <v>1316</v>
      </c>
      <c r="S63" s="5">
        <v>0.10714285714285714</v>
      </c>
      <c r="T63" s="5">
        <v>0.24001536098310289</v>
      </c>
      <c r="U63" s="5">
        <v>0.44640000000000002</v>
      </c>
      <c r="V63" s="3">
        <v>350</v>
      </c>
      <c r="W63" s="5">
        <v>1.276139703292523</v>
      </c>
      <c r="X63" s="3">
        <v>120</v>
      </c>
      <c r="Y63">
        <v>9.0869999999999997</v>
      </c>
      <c r="Z63" s="3">
        <v>161</v>
      </c>
      <c r="AA63">
        <v>0</v>
      </c>
      <c r="AB63">
        <v>90</v>
      </c>
      <c r="AC63" s="5">
        <v>0</v>
      </c>
      <c r="AD63" s="5">
        <v>0.1</v>
      </c>
      <c r="AE63" s="5">
        <v>0</v>
      </c>
      <c r="AF63" s="3">
        <v>351</v>
      </c>
      <c r="AG63" s="5">
        <v>0.31330866666666668</v>
      </c>
      <c r="AH63" s="5">
        <v>0.4</v>
      </c>
      <c r="AI63" s="5">
        <v>0.7833</v>
      </c>
      <c r="AJ63" s="3">
        <v>169</v>
      </c>
      <c r="AK63">
        <v>27</v>
      </c>
      <c r="AL63">
        <v>28</v>
      </c>
      <c r="AM63" s="5">
        <v>0.9642857142857143</v>
      </c>
      <c r="AN63" s="5">
        <v>0.8</v>
      </c>
      <c r="AO63" s="5">
        <v>1.2054</v>
      </c>
      <c r="AP63" s="3">
        <v>40</v>
      </c>
    </row>
    <row r="64" spans="1:42">
      <c r="A64" s="4" t="str">
        <f>_xlfn.XLOOKUP(Table1[[#This Row],[SAP]],'Location List'!B:B,'Location List'!G:G)</f>
        <v>SOUTH TX/RGV</v>
      </c>
      <c r="B64" s="4" t="str">
        <f>LEFT(Table1[[#This Row],[Sap: Loaction]],4)</f>
        <v>216E</v>
      </c>
      <c r="C64" t="s">
        <v>505</v>
      </c>
      <c r="D64" t="s">
        <v>579</v>
      </c>
      <c r="E64" s="3">
        <v>4</v>
      </c>
      <c r="F64" s="3">
        <v>264</v>
      </c>
      <c r="G64">
        <v>220.55</v>
      </c>
      <c r="H64" t="s">
        <v>470</v>
      </c>
      <c r="I64" s="6">
        <v>39.429000000000002</v>
      </c>
      <c r="J64" s="6">
        <v>40.001014507456631</v>
      </c>
      <c r="K64" s="5">
        <v>0.98570000000000002</v>
      </c>
      <c r="L64" s="3">
        <v>176</v>
      </c>
      <c r="M64">
        <v>113</v>
      </c>
      <c r="N64">
        <v>155.81299999999999</v>
      </c>
      <c r="O64" s="5">
        <v>0.72519999999999996</v>
      </c>
      <c r="P64" s="3">
        <v>295</v>
      </c>
      <c r="Q64">
        <v>229</v>
      </c>
      <c r="R64">
        <v>1268</v>
      </c>
      <c r="S64" s="5">
        <v>0.18059936908517349</v>
      </c>
      <c r="T64" s="5">
        <v>0.23999916157498138</v>
      </c>
      <c r="U64" s="5">
        <v>0.75249999999999995</v>
      </c>
      <c r="V64" s="3">
        <v>176</v>
      </c>
      <c r="W64" s="5">
        <v>0.79841984007190048</v>
      </c>
      <c r="X64" s="3">
        <v>305</v>
      </c>
      <c r="Y64">
        <v>9.1428999999999991</v>
      </c>
      <c r="Z64" s="3">
        <v>145</v>
      </c>
      <c r="AA64">
        <v>7</v>
      </c>
      <c r="AB64">
        <v>228</v>
      </c>
      <c r="AC64" s="5">
        <v>3.0701754385964911E-2</v>
      </c>
      <c r="AD64" s="5">
        <v>0.1</v>
      </c>
      <c r="AE64" s="5">
        <v>0.307</v>
      </c>
      <c r="AF64" s="3">
        <v>284</v>
      </c>
      <c r="AG64" s="5">
        <v>0.36630800000000002</v>
      </c>
      <c r="AH64" s="5">
        <v>0.4</v>
      </c>
      <c r="AI64" s="5">
        <v>0.91579999999999995</v>
      </c>
      <c r="AJ64" s="3">
        <v>90</v>
      </c>
      <c r="AK64">
        <v>15</v>
      </c>
      <c r="AL64">
        <v>24</v>
      </c>
      <c r="AM64" s="5">
        <v>0.625</v>
      </c>
      <c r="AN64" s="5">
        <v>0.8</v>
      </c>
      <c r="AO64" s="5">
        <v>0.78129999999999999</v>
      </c>
      <c r="AP64" s="3">
        <v>269</v>
      </c>
    </row>
    <row r="65" spans="1:42">
      <c r="A65" s="4" t="str">
        <f>_xlfn.XLOOKUP(Table1[[#This Row],[SAP]],'Location List'!B:B,'Location List'!G:G)</f>
        <v>CENTRAL TEXAS</v>
      </c>
      <c r="B65" s="4" t="str">
        <f>LEFT(Table1[[#This Row],[Sap: Loaction]],4)</f>
        <v>1FSS</v>
      </c>
      <c r="C65" t="s">
        <v>505</v>
      </c>
      <c r="D65" t="s">
        <v>559</v>
      </c>
      <c r="E65" s="3">
        <v>4</v>
      </c>
      <c r="F65" s="3">
        <v>265</v>
      </c>
      <c r="G65">
        <v>221.15</v>
      </c>
      <c r="H65" t="s">
        <v>470</v>
      </c>
      <c r="I65" s="6">
        <v>17.921099999999999</v>
      </c>
      <c r="J65" s="6">
        <v>29.998493471710741</v>
      </c>
      <c r="K65" s="5">
        <v>0.59740000000000004</v>
      </c>
      <c r="L65" s="3">
        <v>336</v>
      </c>
      <c r="M65">
        <v>62</v>
      </c>
      <c r="N65">
        <v>75.522000000000006</v>
      </c>
      <c r="O65" s="5">
        <v>0.82099999999999995</v>
      </c>
      <c r="P65" s="3">
        <v>256</v>
      </c>
      <c r="Q65">
        <v>91</v>
      </c>
      <c r="R65">
        <v>365</v>
      </c>
      <c r="S65" s="5">
        <v>0.24931506849315069</v>
      </c>
      <c r="T65" s="5">
        <v>0.24000295388250933</v>
      </c>
      <c r="U65" s="5">
        <v>1.0387999999999999</v>
      </c>
      <c r="V65" s="3">
        <v>41</v>
      </c>
      <c r="W65" s="5">
        <v>0.59133439859517367</v>
      </c>
      <c r="X65" s="3">
        <v>344</v>
      </c>
      <c r="Y65">
        <v>9.25</v>
      </c>
      <c r="Z65" s="3">
        <v>121</v>
      </c>
      <c r="AA65">
        <v>2</v>
      </c>
      <c r="AB65">
        <v>73</v>
      </c>
      <c r="AC65" s="5">
        <v>2.7397260273972601E-2</v>
      </c>
      <c r="AD65" s="5">
        <v>0.1</v>
      </c>
      <c r="AE65" s="5">
        <v>0.27400000000000002</v>
      </c>
      <c r="AF65" s="3">
        <v>290</v>
      </c>
      <c r="AG65" s="5">
        <v>0.24121199999999998</v>
      </c>
      <c r="AH65" s="5">
        <v>0.4</v>
      </c>
      <c r="AI65" s="5">
        <v>0.60299999999999998</v>
      </c>
      <c r="AJ65" s="3">
        <v>257</v>
      </c>
      <c r="AK65">
        <v>13</v>
      </c>
      <c r="AL65">
        <v>15</v>
      </c>
      <c r="AM65" s="5">
        <v>0.8666666666666667</v>
      </c>
      <c r="AN65" s="5">
        <v>0.8</v>
      </c>
      <c r="AO65" s="5">
        <v>1.0832999999999999</v>
      </c>
      <c r="AP65" s="3">
        <v>105</v>
      </c>
    </row>
    <row r="66" spans="1:42">
      <c r="A66" s="4" t="str">
        <f>_xlfn.XLOOKUP(Table1[[#This Row],[SAP]],'Location List'!B:B,'Location List'!G:G)</f>
        <v>MO/IA/NE</v>
      </c>
      <c r="B66" s="4" t="str">
        <f>LEFT(Table1[[#This Row],[Sap: Loaction]],4)</f>
        <v>4BSM</v>
      </c>
      <c r="C66" t="s">
        <v>505</v>
      </c>
      <c r="D66" t="s">
        <v>548</v>
      </c>
      <c r="E66" s="3">
        <v>4</v>
      </c>
      <c r="F66" s="3">
        <v>271</v>
      </c>
      <c r="G66">
        <v>222.4</v>
      </c>
      <c r="H66" t="s">
        <v>470</v>
      </c>
      <c r="I66" s="6">
        <v>23.693100000000001</v>
      </c>
      <c r="J66" s="6">
        <v>29.998860471005322</v>
      </c>
      <c r="K66" s="5">
        <v>0.78979999999999995</v>
      </c>
      <c r="L66" s="3">
        <v>280</v>
      </c>
      <c r="M66">
        <v>77</v>
      </c>
      <c r="N66">
        <v>69.956999999999994</v>
      </c>
      <c r="O66" s="5">
        <v>1.1007</v>
      </c>
      <c r="P66" s="3">
        <v>140</v>
      </c>
      <c r="Q66">
        <v>132</v>
      </c>
      <c r="R66">
        <v>768</v>
      </c>
      <c r="S66" s="5">
        <v>0.171875</v>
      </c>
      <c r="T66" s="5">
        <v>0.24001536098310294</v>
      </c>
      <c r="U66" s="5">
        <v>0.71609999999999996</v>
      </c>
      <c r="V66" s="3">
        <v>206</v>
      </c>
      <c r="W66" s="5">
        <v>2.0607965441089942</v>
      </c>
      <c r="X66" s="3">
        <v>8</v>
      </c>
      <c r="Y66">
        <v>7.4</v>
      </c>
      <c r="Z66" s="3">
        <v>345</v>
      </c>
      <c r="AA66">
        <v>3</v>
      </c>
      <c r="AB66">
        <v>135</v>
      </c>
      <c r="AC66" s="5">
        <v>2.2222222222222223E-2</v>
      </c>
      <c r="AD66" s="5">
        <v>0.1</v>
      </c>
      <c r="AE66" s="5">
        <v>0.22220000000000001</v>
      </c>
      <c r="AF66" s="3">
        <v>306</v>
      </c>
      <c r="AG66" s="5">
        <v>0.14511466666666667</v>
      </c>
      <c r="AH66" s="5">
        <v>0.4</v>
      </c>
      <c r="AI66" s="5">
        <v>0.36280000000000001</v>
      </c>
      <c r="AJ66" s="3">
        <v>346</v>
      </c>
      <c r="AK66">
        <v>16</v>
      </c>
      <c r="AL66">
        <v>19</v>
      </c>
      <c r="AM66" s="5">
        <v>0.84210526315789469</v>
      </c>
      <c r="AN66" s="5">
        <v>0.8</v>
      </c>
      <c r="AO66" s="5">
        <v>1.0526</v>
      </c>
      <c r="AP66" s="3">
        <v>127</v>
      </c>
    </row>
    <row r="67" spans="1:42">
      <c r="A67" s="4" t="str">
        <f>_xlfn.XLOOKUP(Table1[[#This Row],[SAP]],'Location List'!B:B,'Location List'!G:G)</f>
        <v>CENTRAL TEXAS</v>
      </c>
      <c r="B67" s="4" t="str">
        <f>LEFT(Table1[[#This Row],[Sap: Loaction]],4)</f>
        <v>1DSF</v>
      </c>
      <c r="C67" t="s">
        <v>505</v>
      </c>
      <c r="D67" t="s">
        <v>565</v>
      </c>
      <c r="E67" s="3">
        <v>4</v>
      </c>
      <c r="F67" s="3">
        <v>272</v>
      </c>
      <c r="G67">
        <v>222.85</v>
      </c>
      <c r="H67" t="s">
        <v>470</v>
      </c>
      <c r="I67" s="6">
        <v>23.783000000000001</v>
      </c>
      <c r="J67" s="6">
        <v>35.000735835172925</v>
      </c>
      <c r="K67" s="5">
        <v>0.67949999999999999</v>
      </c>
      <c r="L67" s="3">
        <v>319</v>
      </c>
      <c r="M67">
        <v>65</v>
      </c>
      <c r="N67">
        <v>98.575999999999993</v>
      </c>
      <c r="O67" s="5">
        <v>0.65939999999999999</v>
      </c>
      <c r="P67" s="3">
        <v>309</v>
      </c>
      <c r="Q67">
        <v>141</v>
      </c>
      <c r="R67">
        <v>1023</v>
      </c>
      <c r="S67" s="5">
        <v>0.1378299120234604</v>
      </c>
      <c r="T67" s="5">
        <v>0.23999636431039595</v>
      </c>
      <c r="U67" s="5">
        <v>0.57430000000000003</v>
      </c>
      <c r="V67" s="3">
        <v>303</v>
      </c>
      <c r="W67" s="5">
        <v>0.88184293332172015</v>
      </c>
      <c r="X67" s="3">
        <v>276</v>
      </c>
      <c r="Y67">
        <v>8.8947000000000003</v>
      </c>
      <c r="Z67" s="3">
        <v>201</v>
      </c>
      <c r="AA67">
        <v>8</v>
      </c>
      <c r="AB67">
        <v>131</v>
      </c>
      <c r="AC67" s="5">
        <v>6.1068702290076333E-2</v>
      </c>
      <c r="AD67" s="5">
        <v>0.1</v>
      </c>
      <c r="AE67" s="5">
        <v>0.61070000000000002</v>
      </c>
      <c r="AF67" s="3">
        <v>206</v>
      </c>
      <c r="AG67" s="5">
        <v>0.63645266666666667</v>
      </c>
      <c r="AH67" s="5">
        <v>0.4</v>
      </c>
      <c r="AI67" s="5">
        <v>1.5911</v>
      </c>
      <c r="AJ67" s="3">
        <v>1</v>
      </c>
      <c r="AK67">
        <v>20</v>
      </c>
      <c r="AL67">
        <v>21</v>
      </c>
      <c r="AM67" s="5">
        <v>0.95238095238095233</v>
      </c>
      <c r="AN67" s="5">
        <v>0.8</v>
      </c>
      <c r="AO67" s="5">
        <v>1.1904999999999999</v>
      </c>
      <c r="AP67" s="3">
        <v>45</v>
      </c>
    </row>
    <row r="68" spans="1:42">
      <c r="A68" s="4" t="str">
        <f>_xlfn.XLOOKUP(Table1[[#This Row],[SAP]],'Location List'!B:B,'Location List'!G:G)</f>
        <v>SA SOUTH</v>
      </c>
      <c r="B68" s="4" t="str">
        <f>LEFT(Table1[[#This Row],[Sap: Loaction]],4)</f>
        <v>584D</v>
      </c>
      <c r="C68" t="s">
        <v>505</v>
      </c>
      <c r="D68" t="s">
        <v>598</v>
      </c>
      <c r="E68" s="3">
        <v>4</v>
      </c>
      <c r="F68" s="3">
        <v>274</v>
      </c>
      <c r="G68">
        <v>225.1</v>
      </c>
      <c r="H68" t="s">
        <v>470</v>
      </c>
      <c r="I68" s="6">
        <v>27.164400000000001</v>
      </c>
      <c r="J68" s="6">
        <v>35.001159644375726</v>
      </c>
      <c r="K68" s="5">
        <v>0.77610000000000001</v>
      </c>
      <c r="L68" s="3">
        <v>284</v>
      </c>
      <c r="M68">
        <v>92</v>
      </c>
      <c r="N68">
        <v>108.91</v>
      </c>
      <c r="O68" s="5">
        <v>0.84470000000000001</v>
      </c>
      <c r="P68" s="3">
        <v>241</v>
      </c>
      <c r="Q68">
        <v>128</v>
      </c>
      <c r="R68">
        <v>692</v>
      </c>
      <c r="S68" s="5">
        <v>0.18497109826589594</v>
      </c>
      <c r="T68" s="5">
        <v>0.24000402006733609</v>
      </c>
      <c r="U68" s="5">
        <v>0.77070000000000005</v>
      </c>
      <c r="V68" s="3">
        <v>160</v>
      </c>
      <c r="W68" s="5">
        <v>0.7411172715559271</v>
      </c>
      <c r="X68" s="3">
        <v>323</v>
      </c>
      <c r="Y68">
        <v>8.5</v>
      </c>
      <c r="Z68" s="3">
        <v>279</v>
      </c>
      <c r="AA68">
        <v>9</v>
      </c>
      <c r="AB68">
        <v>59</v>
      </c>
      <c r="AC68" s="5">
        <v>0.15254237288135594</v>
      </c>
      <c r="AD68" s="5">
        <v>0.1</v>
      </c>
      <c r="AE68" s="5">
        <v>1.5254000000000001</v>
      </c>
      <c r="AF68" s="3">
        <v>51</v>
      </c>
      <c r="AG68" s="5">
        <v>0.25740733333333332</v>
      </c>
      <c r="AH68" s="5">
        <v>0.4</v>
      </c>
      <c r="AI68" s="5">
        <v>0.64349999999999996</v>
      </c>
      <c r="AJ68" s="3">
        <v>236</v>
      </c>
      <c r="AK68">
        <v>8</v>
      </c>
      <c r="AL68">
        <v>15</v>
      </c>
      <c r="AM68" s="5">
        <v>0.53333333333333333</v>
      </c>
      <c r="AN68" s="5">
        <v>0.8</v>
      </c>
      <c r="AO68" s="5">
        <v>0.66669999999999996</v>
      </c>
      <c r="AP68" s="3">
        <v>309</v>
      </c>
    </row>
    <row r="69" spans="1:42">
      <c r="A69" s="4" t="str">
        <f>_xlfn.XLOOKUP(Table1[[#This Row],[SAP]],'Location List'!B:B,'Location List'!G:G)</f>
        <v>MO/IA/NE</v>
      </c>
      <c r="B69" s="4" t="str">
        <f>LEFT(Table1[[#This Row],[Sap: Loaction]],4)</f>
        <v>4ASA</v>
      </c>
      <c r="C69" t="s">
        <v>505</v>
      </c>
      <c r="D69" t="s">
        <v>569</v>
      </c>
      <c r="E69" s="3">
        <v>4</v>
      </c>
      <c r="F69" s="3">
        <v>277</v>
      </c>
      <c r="G69">
        <v>226.75</v>
      </c>
      <c r="H69" t="s">
        <v>470</v>
      </c>
      <c r="I69" s="6">
        <v>41.935499999999998</v>
      </c>
      <c r="J69" s="6">
        <v>39.999523082792827</v>
      </c>
      <c r="K69" s="5">
        <v>1.0484</v>
      </c>
      <c r="L69" s="3">
        <v>155</v>
      </c>
      <c r="M69">
        <v>146</v>
      </c>
      <c r="N69">
        <v>93.808000000000007</v>
      </c>
      <c r="O69" s="5">
        <v>1.5564</v>
      </c>
      <c r="P69" s="3">
        <v>25</v>
      </c>
      <c r="Q69">
        <v>247</v>
      </c>
      <c r="R69">
        <v>2070</v>
      </c>
      <c r="S69" s="5">
        <v>0.11932367149758454</v>
      </c>
      <c r="T69" s="5">
        <v>0.23999129424292948</v>
      </c>
      <c r="U69" s="5">
        <v>0.49719999999999998</v>
      </c>
      <c r="V69" s="3">
        <v>342</v>
      </c>
      <c r="W69" s="5">
        <v>1.190336490756803</v>
      </c>
      <c r="X69" s="3">
        <v>153</v>
      </c>
      <c r="Y69">
        <v>9.0244</v>
      </c>
      <c r="Z69" s="3">
        <v>174</v>
      </c>
      <c r="AA69">
        <v>0</v>
      </c>
      <c r="AB69">
        <v>119</v>
      </c>
      <c r="AC69" s="5">
        <v>0</v>
      </c>
      <c r="AD69" s="5">
        <v>0.1</v>
      </c>
      <c r="AE69" s="5">
        <v>0</v>
      </c>
      <c r="AF69" s="3">
        <v>351</v>
      </c>
      <c r="AG69" s="5">
        <v>0.15113633333333334</v>
      </c>
      <c r="AH69" s="5">
        <v>0.4</v>
      </c>
      <c r="AI69" s="5">
        <v>0.37780000000000002</v>
      </c>
      <c r="AJ69" s="3">
        <v>341</v>
      </c>
      <c r="AK69">
        <v>15</v>
      </c>
      <c r="AL69">
        <v>26</v>
      </c>
      <c r="AM69" s="5">
        <v>0.57692307692307687</v>
      </c>
      <c r="AN69" s="5">
        <v>0.8</v>
      </c>
      <c r="AO69" s="5">
        <v>0.72119999999999995</v>
      </c>
      <c r="AP69" s="3">
        <v>290</v>
      </c>
    </row>
    <row r="70" spans="1:42">
      <c r="A70" s="4" t="str">
        <f>_xlfn.XLOOKUP(Table1[[#This Row],[SAP]],'Location List'!B:B,'Location List'!G:G)</f>
        <v>KS/OK</v>
      </c>
      <c r="B70" s="4" t="str">
        <f>LEFT(Table1[[#This Row],[Sap: Loaction]],4)</f>
        <v>849C</v>
      </c>
      <c r="C70" t="s">
        <v>505</v>
      </c>
      <c r="D70" t="s">
        <v>545</v>
      </c>
      <c r="E70" s="3">
        <v>4</v>
      </c>
      <c r="F70" s="3">
        <v>278</v>
      </c>
      <c r="G70">
        <v>226.85</v>
      </c>
      <c r="H70" t="s">
        <v>470</v>
      </c>
      <c r="I70" s="6">
        <v>38.083100000000002</v>
      </c>
      <c r="J70" s="6">
        <v>39.999054721142741</v>
      </c>
      <c r="K70" s="5">
        <v>0.95209999999999995</v>
      </c>
      <c r="L70" s="3">
        <v>198</v>
      </c>
      <c r="M70">
        <v>178</v>
      </c>
      <c r="N70">
        <v>205.101</v>
      </c>
      <c r="O70" s="5">
        <v>0.8679</v>
      </c>
      <c r="P70" s="3">
        <v>234</v>
      </c>
      <c r="Q70">
        <v>250</v>
      </c>
      <c r="R70">
        <v>1510</v>
      </c>
      <c r="S70" s="5">
        <v>0.16556291390728478</v>
      </c>
      <c r="T70" s="5">
        <v>0.24001582184297593</v>
      </c>
      <c r="U70" s="5">
        <v>0.68979999999999997</v>
      </c>
      <c r="V70" s="3">
        <v>225</v>
      </c>
      <c r="W70" s="5">
        <v>0.92387702373774405</v>
      </c>
      <c r="X70" s="3">
        <v>260</v>
      </c>
      <c r="Y70">
        <v>8.6128999999999998</v>
      </c>
      <c r="Z70" s="3">
        <v>258</v>
      </c>
      <c r="AA70">
        <v>29</v>
      </c>
      <c r="AB70">
        <v>236</v>
      </c>
      <c r="AC70" s="5">
        <v>0.1228813559322034</v>
      </c>
      <c r="AD70" s="5">
        <v>0.1</v>
      </c>
      <c r="AE70" s="5">
        <v>1.2287999999999999</v>
      </c>
      <c r="AF70" s="3">
        <v>76</v>
      </c>
      <c r="AG70" s="5">
        <v>0.19647433333333333</v>
      </c>
      <c r="AH70" s="5">
        <v>0.4</v>
      </c>
      <c r="AI70" s="5">
        <v>0.49120000000000003</v>
      </c>
      <c r="AJ70" s="3">
        <v>306</v>
      </c>
      <c r="AK70">
        <v>11</v>
      </c>
      <c r="AL70">
        <v>32</v>
      </c>
      <c r="AM70" s="5">
        <v>0.34375</v>
      </c>
      <c r="AN70" s="5">
        <v>0.8</v>
      </c>
      <c r="AO70" s="5">
        <v>0.42970000000000003</v>
      </c>
      <c r="AP70" s="3">
        <v>345</v>
      </c>
    </row>
    <row r="71" spans="1:42">
      <c r="A71" s="4" t="str">
        <f>_xlfn.XLOOKUP(Table1[[#This Row],[SAP]],'Location List'!B:B,'Location List'!G:G)</f>
        <v>SA SOUTH</v>
      </c>
      <c r="B71" s="4" t="str">
        <f>LEFT(Table1[[#This Row],[Sap: Loaction]],4)</f>
        <v>1ESF</v>
      </c>
      <c r="C71" t="s">
        <v>505</v>
      </c>
      <c r="D71" t="s">
        <v>587</v>
      </c>
      <c r="E71" s="3">
        <v>4</v>
      </c>
      <c r="F71" s="3">
        <v>280</v>
      </c>
      <c r="G71">
        <v>227.35</v>
      </c>
      <c r="H71" t="s">
        <v>470</v>
      </c>
      <c r="I71" s="6">
        <v>16.283100000000001</v>
      </c>
      <c r="J71" s="6">
        <v>39.997789240972736</v>
      </c>
      <c r="K71" s="5">
        <v>0.40710000000000002</v>
      </c>
      <c r="L71" s="3">
        <v>350</v>
      </c>
      <c r="M71">
        <v>105</v>
      </c>
      <c r="N71">
        <v>210.66800000000001</v>
      </c>
      <c r="O71" s="5">
        <v>0.49840000000000001</v>
      </c>
      <c r="P71" s="3">
        <v>340</v>
      </c>
      <c r="Q71">
        <v>232</v>
      </c>
      <c r="R71">
        <v>1540</v>
      </c>
      <c r="S71" s="5">
        <v>0.15064935064935064</v>
      </c>
      <c r="T71" s="5">
        <v>0.2400021517434294</v>
      </c>
      <c r="U71" s="5">
        <v>0.62770000000000004</v>
      </c>
      <c r="V71" s="3">
        <v>271</v>
      </c>
      <c r="W71" s="5">
        <v>0.63855107923339327</v>
      </c>
      <c r="X71" s="3">
        <v>340</v>
      </c>
      <c r="Y71">
        <v>9.8571000000000009</v>
      </c>
      <c r="Z71" s="3">
        <v>20</v>
      </c>
      <c r="AA71">
        <v>22</v>
      </c>
      <c r="AB71">
        <v>174</v>
      </c>
      <c r="AC71" s="5">
        <v>0.12643678160919541</v>
      </c>
      <c r="AD71" s="5">
        <v>0.1</v>
      </c>
      <c r="AE71" s="5">
        <v>1.2644</v>
      </c>
      <c r="AF71" s="3">
        <v>72</v>
      </c>
      <c r="AG71" s="5">
        <v>0.38529533333333332</v>
      </c>
      <c r="AH71" s="5">
        <v>0.4</v>
      </c>
      <c r="AI71" s="5">
        <v>0.96319999999999995</v>
      </c>
      <c r="AJ71" s="3">
        <v>73</v>
      </c>
      <c r="AK71">
        <v>35</v>
      </c>
      <c r="AL71">
        <v>61</v>
      </c>
      <c r="AM71" s="5">
        <v>0.57377049180327866</v>
      </c>
      <c r="AN71" s="5">
        <v>0.8</v>
      </c>
      <c r="AO71" s="5">
        <v>0.71719999999999995</v>
      </c>
      <c r="AP71" s="3">
        <v>291</v>
      </c>
    </row>
    <row r="72" spans="1:42">
      <c r="A72" s="4" t="str">
        <f>_xlfn.XLOOKUP(Table1[[#This Row],[SAP]],'Location List'!B:B,'Location List'!G:G)</f>
        <v>SOUTH TX/RGV</v>
      </c>
      <c r="B72" s="4" t="str">
        <f>LEFT(Table1[[#This Row],[Sap: Loaction]],4)</f>
        <v>5DSX</v>
      </c>
      <c r="C72" t="s">
        <v>505</v>
      </c>
      <c r="D72" t="s">
        <v>589</v>
      </c>
      <c r="E72" s="3">
        <v>4</v>
      </c>
      <c r="F72" s="3">
        <v>281</v>
      </c>
      <c r="G72">
        <v>227.55</v>
      </c>
      <c r="H72" t="s">
        <v>470</v>
      </c>
      <c r="I72" s="6">
        <v>34.406999999999996</v>
      </c>
      <c r="J72" s="6">
        <v>39.99883747965589</v>
      </c>
      <c r="K72" s="5">
        <v>0.86019999999999996</v>
      </c>
      <c r="L72" s="3">
        <v>243</v>
      </c>
      <c r="M72">
        <v>130</v>
      </c>
      <c r="N72">
        <v>162.17400000000001</v>
      </c>
      <c r="O72" s="5">
        <v>0.80159999999999998</v>
      </c>
      <c r="P72" s="3">
        <v>267</v>
      </c>
      <c r="Q72">
        <v>214</v>
      </c>
      <c r="R72">
        <v>1313</v>
      </c>
      <c r="S72" s="5">
        <v>0.16298552932216298</v>
      </c>
      <c r="T72" s="5">
        <v>0.24000225198374756</v>
      </c>
      <c r="U72" s="5">
        <v>0.67910000000000004</v>
      </c>
      <c r="V72" s="3">
        <v>234</v>
      </c>
      <c r="W72" s="5">
        <v>0.85042549945848611</v>
      </c>
      <c r="X72" s="3">
        <v>287</v>
      </c>
      <c r="Y72">
        <v>9.2972999999999999</v>
      </c>
      <c r="Z72" s="3">
        <v>108</v>
      </c>
      <c r="AA72">
        <v>11</v>
      </c>
      <c r="AB72">
        <v>235</v>
      </c>
      <c r="AC72" s="5">
        <v>4.6808510638297871E-2</v>
      </c>
      <c r="AD72" s="5">
        <v>0.1</v>
      </c>
      <c r="AE72" s="5">
        <v>0.46810000000000002</v>
      </c>
      <c r="AF72" s="3">
        <v>237</v>
      </c>
      <c r="AG72" s="5">
        <v>0.27452133333333334</v>
      </c>
      <c r="AH72" s="5">
        <v>0.4</v>
      </c>
      <c r="AI72" s="5">
        <v>0.68630000000000002</v>
      </c>
      <c r="AJ72" s="3">
        <v>219</v>
      </c>
      <c r="AK72">
        <v>21</v>
      </c>
      <c r="AL72">
        <v>28</v>
      </c>
      <c r="AM72" s="5">
        <v>0.75</v>
      </c>
      <c r="AN72" s="5">
        <v>0.8</v>
      </c>
      <c r="AO72" s="5">
        <v>0.9375</v>
      </c>
      <c r="AP72" s="3">
        <v>190</v>
      </c>
    </row>
    <row r="73" spans="1:42">
      <c r="A73" s="4" t="str">
        <f>_xlfn.XLOOKUP(Table1[[#This Row],[SAP]],'Location List'!B:B,'Location List'!G:G)</f>
        <v>DFW NORTH</v>
      </c>
      <c r="B73" s="4" t="str">
        <f>LEFT(Table1[[#This Row],[Sap: Loaction]],4)</f>
        <v>924C</v>
      </c>
      <c r="C73" t="s">
        <v>505</v>
      </c>
      <c r="D73" t="s">
        <v>578</v>
      </c>
      <c r="E73" s="3">
        <v>4</v>
      </c>
      <c r="F73" s="3">
        <v>284</v>
      </c>
      <c r="G73">
        <v>228.2</v>
      </c>
      <c r="H73" t="s">
        <v>470</v>
      </c>
      <c r="I73" s="6">
        <v>48.277999999999999</v>
      </c>
      <c r="J73" s="6">
        <v>39.998342999171498</v>
      </c>
      <c r="K73" s="5">
        <v>1.2070000000000001</v>
      </c>
      <c r="L73" s="3">
        <v>94</v>
      </c>
      <c r="M73">
        <v>86</v>
      </c>
      <c r="N73">
        <v>120.833</v>
      </c>
      <c r="O73" s="5">
        <v>0.7117</v>
      </c>
      <c r="P73" s="3">
        <v>301</v>
      </c>
      <c r="Q73">
        <v>143</v>
      </c>
      <c r="R73">
        <v>994</v>
      </c>
      <c r="S73" s="5">
        <v>0.14386317907444668</v>
      </c>
      <c r="T73" s="5">
        <v>0.24001197710117897</v>
      </c>
      <c r="U73" s="5">
        <v>0.59940000000000004</v>
      </c>
      <c r="V73" s="3">
        <v>283</v>
      </c>
      <c r="W73" s="5">
        <v>1.2863562617213065</v>
      </c>
      <c r="X73" s="3">
        <v>115</v>
      </c>
      <c r="Y73">
        <v>9.125</v>
      </c>
      <c r="Z73" s="3">
        <v>152</v>
      </c>
      <c r="AA73">
        <v>5</v>
      </c>
      <c r="AB73">
        <v>171</v>
      </c>
      <c r="AC73" s="5">
        <v>2.9239766081871343E-2</v>
      </c>
      <c r="AD73" s="5">
        <v>0.1</v>
      </c>
      <c r="AE73" s="5">
        <v>0.29239999999999999</v>
      </c>
      <c r="AF73" s="3">
        <v>288</v>
      </c>
      <c r="AG73" s="5">
        <v>0.13199633333333333</v>
      </c>
      <c r="AH73" s="5">
        <v>0.4</v>
      </c>
      <c r="AI73" s="5">
        <v>0.33</v>
      </c>
      <c r="AJ73" s="3">
        <v>353</v>
      </c>
      <c r="AK73">
        <v>20</v>
      </c>
      <c r="AL73">
        <v>28</v>
      </c>
      <c r="AM73" s="5">
        <v>0.7142857142857143</v>
      </c>
      <c r="AN73" s="5">
        <v>0.8</v>
      </c>
      <c r="AO73" s="5">
        <v>0.89290000000000003</v>
      </c>
      <c r="AP73" s="3">
        <v>213</v>
      </c>
    </row>
    <row r="74" spans="1:42">
      <c r="A74" s="4" t="str">
        <f>_xlfn.XLOOKUP(Table1[[#This Row],[SAP]],'Location List'!B:B,'Location List'!G:G)</f>
        <v>DFW EAST</v>
      </c>
      <c r="B74" s="4" t="str">
        <f>LEFT(Table1[[#This Row],[Sap: Loaction]],4)</f>
        <v>618E</v>
      </c>
      <c r="C74" t="s">
        <v>505</v>
      </c>
      <c r="D74" t="s">
        <v>529</v>
      </c>
      <c r="E74" s="3">
        <v>4</v>
      </c>
      <c r="F74" s="3">
        <v>285</v>
      </c>
      <c r="G74">
        <v>229.6</v>
      </c>
      <c r="H74" t="s">
        <v>470</v>
      </c>
      <c r="I74" s="6">
        <v>21.9832</v>
      </c>
      <c r="J74" s="6">
        <v>29.998908296943231</v>
      </c>
      <c r="K74" s="5">
        <v>0.73280000000000001</v>
      </c>
      <c r="L74" s="3">
        <v>301</v>
      </c>
      <c r="M74">
        <v>66</v>
      </c>
      <c r="N74">
        <v>82.677999999999997</v>
      </c>
      <c r="O74" s="5">
        <v>0.79830000000000001</v>
      </c>
      <c r="P74" s="3">
        <v>269</v>
      </c>
      <c r="Q74">
        <v>93</v>
      </c>
      <c r="R74">
        <v>551</v>
      </c>
      <c r="S74" s="5">
        <v>0.16878402903811252</v>
      </c>
      <c r="T74" s="5">
        <v>0.23998866634169275</v>
      </c>
      <c r="U74" s="5">
        <v>0.70330000000000004</v>
      </c>
      <c r="V74" s="3">
        <v>210</v>
      </c>
      <c r="W74" s="5">
        <v>0.93834725849188427</v>
      </c>
      <c r="X74" s="3">
        <v>254</v>
      </c>
      <c r="Y74">
        <v>9.1875</v>
      </c>
      <c r="Z74" s="3">
        <v>135</v>
      </c>
      <c r="AA74">
        <v>2</v>
      </c>
      <c r="AB74">
        <v>52</v>
      </c>
      <c r="AC74" s="5">
        <v>3.8461538461538464E-2</v>
      </c>
      <c r="AD74" s="5">
        <v>0.1</v>
      </c>
      <c r="AE74" s="5">
        <v>0.3846</v>
      </c>
      <c r="AF74" s="3">
        <v>264</v>
      </c>
      <c r="AG74" s="5">
        <v>0.32074399999999997</v>
      </c>
      <c r="AH74" s="5">
        <v>0.4</v>
      </c>
      <c r="AI74" s="5">
        <v>0.80189999999999995</v>
      </c>
      <c r="AJ74" s="3">
        <v>151</v>
      </c>
      <c r="AK74">
        <v>12</v>
      </c>
      <c r="AL74">
        <v>16</v>
      </c>
      <c r="AM74" s="5">
        <v>0.75</v>
      </c>
      <c r="AN74" s="5">
        <v>0.8</v>
      </c>
      <c r="AO74" s="5">
        <v>0.9375</v>
      </c>
      <c r="AP74" s="3">
        <v>190</v>
      </c>
    </row>
    <row r="75" spans="1:42">
      <c r="A75" s="4" t="str">
        <f>_xlfn.XLOOKUP(Table1[[#This Row],[SAP]],'Location List'!B:B,'Location List'!G:G)</f>
        <v>WEST TEXAS</v>
      </c>
      <c r="B75" s="4" t="str">
        <f>LEFT(Table1[[#This Row],[Sap: Loaction]],4)</f>
        <v>922E</v>
      </c>
      <c r="C75" t="s">
        <v>505</v>
      </c>
      <c r="D75" t="s">
        <v>574</v>
      </c>
      <c r="E75" s="3">
        <v>5</v>
      </c>
      <c r="F75" s="3">
        <v>292</v>
      </c>
      <c r="G75">
        <v>234.65</v>
      </c>
      <c r="H75" t="s">
        <v>470</v>
      </c>
      <c r="I75" s="6">
        <v>95.748500000000007</v>
      </c>
      <c r="J75" s="6">
        <v>40.000208881647666</v>
      </c>
      <c r="K75" s="5">
        <v>2.3936999999999999</v>
      </c>
      <c r="L75" s="3">
        <v>4</v>
      </c>
      <c r="M75">
        <v>124</v>
      </c>
      <c r="N75">
        <v>146.273</v>
      </c>
      <c r="O75" s="5">
        <v>0.84770000000000001</v>
      </c>
      <c r="P75" s="3">
        <v>239</v>
      </c>
      <c r="Q75">
        <v>200</v>
      </c>
      <c r="R75">
        <v>1472</v>
      </c>
      <c r="S75" s="5">
        <v>0.1358695652173913</v>
      </c>
      <c r="T75" s="5">
        <v>0.24000983080266963</v>
      </c>
      <c r="U75" s="5">
        <v>0.56610000000000005</v>
      </c>
      <c r="V75" s="3">
        <v>311</v>
      </c>
      <c r="W75" s="5">
        <v>0.78077090785308534</v>
      </c>
      <c r="X75" s="3">
        <v>311</v>
      </c>
      <c r="Y75">
        <v>7.9</v>
      </c>
      <c r="Z75" s="3">
        <v>319</v>
      </c>
      <c r="AA75">
        <v>2</v>
      </c>
      <c r="AB75">
        <v>176</v>
      </c>
      <c r="AC75" s="5">
        <v>1.1363636363636364E-2</v>
      </c>
      <c r="AD75" s="5">
        <v>0.1</v>
      </c>
      <c r="AE75" s="5">
        <v>0.11360000000000001</v>
      </c>
      <c r="AF75" s="3">
        <v>337</v>
      </c>
      <c r="AG75" s="5">
        <v>0.27890166666666666</v>
      </c>
      <c r="AH75" s="5">
        <v>0.4</v>
      </c>
      <c r="AI75" s="5">
        <v>0.69730000000000003</v>
      </c>
      <c r="AJ75" s="3">
        <v>212</v>
      </c>
      <c r="AK75">
        <v>22</v>
      </c>
      <c r="AL75">
        <v>28</v>
      </c>
      <c r="AM75" s="5">
        <v>0.7857142857142857</v>
      </c>
      <c r="AN75" s="5">
        <v>0.8</v>
      </c>
      <c r="AO75" s="5">
        <v>0.98209999999999997</v>
      </c>
      <c r="AP75" s="3">
        <v>168</v>
      </c>
    </row>
    <row r="76" spans="1:42">
      <c r="A76" s="4" t="str">
        <f>_xlfn.XLOOKUP(Table1[[#This Row],[SAP]],'Location List'!B:B,'Location List'!G:G)</f>
        <v>SOUTH TX/RGV</v>
      </c>
      <c r="B76" s="4" t="str">
        <f>LEFT(Table1[[#This Row],[Sap: Loaction]],4)</f>
        <v>1953</v>
      </c>
      <c r="C76" t="s">
        <v>505</v>
      </c>
      <c r="D76" t="s">
        <v>583</v>
      </c>
      <c r="E76" s="3">
        <v>5</v>
      </c>
      <c r="F76" s="3">
        <v>293</v>
      </c>
      <c r="G76">
        <v>235</v>
      </c>
      <c r="H76" t="s">
        <v>470</v>
      </c>
      <c r="I76" s="6">
        <v>16.590900000000001</v>
      </c>
      <c r="J76" s="6">
        <v>35.001898734177217</v>
      </c>
      <c r="K76" s="5">
        <v>0.47399999999999998</v>
      </c>
      <c r="L76" s="3">
        <v>345</v>
      </c>
      <c r="M76">
        <v>67</v>
      </c>
      <c r="N76">
        <v>85.861000000000004</v>
      </c>
      <c r="O76" s="5">
        <v>0.78029999999999999</v>
      </c>
      <c r="P76" s="3">
        <v>275</v>
      </c>
      <c r="Q76">
        <v>100</v>
      </c>
      <c r="R76">
        <v>798</v>
      </c>
      <c r="S76" s="5">
        <v>0.12531328320802004</v>
      </c>
      <c r="T76" s="5">
        <v>0.2400177805171807</v>
      </c>
      <c r="U76" s="5">
        <v>0.52210000000000001</v>
      </c>
      <c r="V76" s="3">
        <v>327</v>
      </c>
      <c r="W76" s="5">
        <v>1.3177506202699611</v>
      </c>
      <c r="X76" s="3">
        <v>102</v>
      </c>
      <c r="Y76">
        <v>9.0556000000000001</v>
      </c>
      <c r="Z76" s="3">
        <v>167</v>
      </c>
      <c r="AA76">
        <v>12</v>
      </c>
      <c r="AB76">
        <v>158</v>
      </c>
      <c r="AC76" s="5">
        <v>7.5949367088607597E-2</v>
      </c>
      <c r="AD76" s="5">
        <v>0.1</v>
      </c>
      <c r="AE76" s="5">
        <v>0.75949999999999995</v>
      </c>
      <c r="AF76" s="3">
        <v>167</v>
      </c>
      <c r="AG76" s="5">
        <v>0.34057966666666667</v>
      </c>
      <c r="AH76" s="5">
        <v>0.4</v>
      </c>
      <c r="AI76" s="5">
        <v>0.85140000000000005</v>
      </c>
      <c r="AJ76" s="3">
        <v>123</v>
      </c>
      <c r="AK76">
        <v>7</v>
      </c>
      <c r="AL76">
        <v>12</v>
      </c>
      <c r="AM76" s="5">
        <v>0.58333333333333337</v>
      </c>
      <c r="AN76" s="5">
        <v>0.8</v>
      </c>
      <c r="AO76" s="5">
        <v>0.72919999999999996</v>
      </c>
      <c r="AP76" s="3">
        <v>287</v>
      </c>
    </row>
    <row r="77" spans="1:42">
      <c r="A77" s="4" t="str">
        <f>_xlfn.XLOOKUP(Table1[[#This Row],[SAP]],'Location List'!B:B,'Location List'!G:G)</f>
        <v>SA/HILL COUNTRY</v>
      </c>
      <c r="B77" s="4" t="str">
        <f>LEFT(Table1[[#This Row],[Sap: Loaction]],4)</f>
        <v>1ESD</v>
      </c>
      <c r="C77" t="s">
        <v>505</v>
      </c>
      <c r="D77" t="s">
        <v>592</v>
      </c>
      <c r="E77" s="3">
        <v>5</v>
      </c>
      <c r="F77" s="3">
        <v>297</v>
      </c>
      <c r="G77">
        <v>241.2</v>
      </c>
      <c r="H77" t="s">
        <v>470</v>
      </c>
      <c r="I77" s="6">
        <v>25.211600000000001</v>
      </c>
      <c r="J77" s="6">
        <v>39.999365381564338</v>
      </c>
      <c r="K77" s="5">
        <v>0.63029999999999997</v>
      </c>
      <c r="L77" s="3">
        <v>328</v>
      </c>
      <c r="M77">
        <v>124</v>
      </c>
      <c r="N77">
        <v>162.971</v>
      </c>
      <c r="O77" s="5">
        <v>0.76090000000000002</v>
      </c>
      <c r="P77" s="3">
        <v>286</v>
      </c>
      <c r="Q77">
        <v>220</v>
      </c>
      <c r="R77">
        <v>1265</v>
      </c>
      <c r="S77" s="5">
        <v>0.17391304347826086</v>
      </c>
      <c r="T77" s="5">
        <v>0.24001248064899372</v>
      </c>
      <c r="U77" s="5">
        <v>0.72460000000000002</v>
      </c>
      <c r="V77" s="3">
        <v>201</v>
      </c>
      <c r="W77" s="5">
        <v>1.1562269050125922</v>
      </c>
      <c r="X77" s="3">
        <v>161</v>
      </c>
      <c r="Y77">
        <v>9.0512999999999995</v>
      </c>
      <c r="Z77" s="3">
        <v>171</v>
      </c>
      <c r="AA77">
        <v>17</v>
      </c>
      <c r="AB77">
        <v>201</v>
      </c>
      <c r="AC77" s="5">
        <v>8.45771144278607E-2</v>
      </c>
      <c r="AD77" s="5">
        <v>0.1</v>
      </c>
      <c r="AE77" s="5">
        <v>0.8458</v>
      </c>
      <c r="AF77" s="3">
        <v>141</v>
      </c>
      <c r="AG77" s="5">
        <v>0.17090166666666665</v>
      </c>
      <c r="AH77" s="5">
        <v>0.4</v>
      </c>
      <c r="AI77" s="5">
        <v>0.42730000000000001</v>
      </c>
      <c r="AJ77" s="3">
        <v>328</v>
      </c>
      <c r="AK77">
        <v>11</v>
      </c>
      <c r="AL77">
        <v>22</v>
      </c>
      <c r="AM77" s="5">
        <v>0.5</v>
      </c>
      <c r="AN77" s="5">
        <v>0.8</v>
      </c>
      <c r="AO77" s="5">
        <v>0.625</v>
      </c>
      <c r="AP77" s="3">
        <v>318</v>
      </c>
    </row>
    <row r="78" spans="1:42">
      <c r="A78" s="4" t="str">
        <f>_xlfn.XLOOKUP(Table1[[#This Row],[SAP]],'Location List'!B:B,'Location List'!G:G)</f>
        <v>DFW NORTH</v>
      </c>
      <c r="B78" s="4" t="str">
        <f>LEFT(Table1[[#This Row],[Sap: Loaction]],4)</f>
        <v>1239</v>
      </c>
      <c r="C78" t="s">
        <v>505</v>
      </c>
      <c r="D78" t="s">
        <v>601</v>
      </c>
      <c r="E78" s="3">
        <v>5</v>
      </c>
      <c r="F78" s="3">
        <v>300</v>
      </c>
      <c r="G78">
        <v>243.9</v>
      </c>
      <c r="H78" t="s">
        <v>470</v>
      </c>
      <c r="I78" s="6">
        <v>14.289400000000001</v>
      </c>
      <c r="J78" s="6">
        <v>34.997305902522655</v>
      </c>
      <c r="K78" s="5">
        <v>0.4083</v>
      </c>
      <c r="L78" s="3">
        <v>349</v>
      </c>
      <c r="M78">
        <v>124</v>
      </c>
      <c r="N78">
        <v>134.35</v>
      </c>
      <c r="O78" s="5">
        <v>0.92300000000000004</v>
      </c>
      <c r="P78" s="3">
        <v>211</v>
      </c>
      <c r="Q78">
        <v>193</v>
      </c>
      <c r="R78">
        <v>1253</v>
      </c>
      <c r="S78" s="5">
        <v>0.15403032721468476</v>
      </c>
      <c r="T78" s="5">
        <v>0.23999739360343528</v>
      </c>
      <c r="U78" s="5">
        <v>0.64180000000000004</v>
      </c>
      <c r="V78" s="3">
        <v>263</v>
      </c>
      <c r="W78" s="5">
        <v>0.64804107639856023</v>
      </c>
      <c r="X78" s="3">
        <v>338</v>
      </c>
      <c r="Y78">
        <v>8.8947000000000003</v>
      </c>
      <c r="Z78" s="3">
        <v>201</v>
      </c>
      <c r="AA78">
        <v>6</v>
      </c>
      <c r="AB78">
        <v>162</v>
      </c>
      <c r="AC78" s="5">
        <v>3.7037037037037035E-2</v>
      </c>
      <c r="AD78" s="5">
        <v>0.1</v>
      </c>
      <c r="AE78" s="5">
        <v>0.37040000000000001</v>
      </c>
      <c r="AF78" s="3">
        <v>269</v>
      </c>
      <c r="AG78" s="5">
        <v>0.40588066666666661</v>
      </c>
      <c r="AH78" s="5">
        <v>0.4</v>
      </c>
      <c r="AI78" s="5">
        <v>1.0146999999999999</v>
      </c>
      <c r="AJ78" s="3">
        <v>50</v>
      </c>
      <c r="AK78">
        <v>31</v>
      </c>
      <c r="AL78">
        <v>43</v>
      </c>
      <c r="AM78" s="5">
        <v>0.72093023255813948</v>
      </c>
      <c r="AN78" s="5">
        <v>0.8</v>
      </c>
      <c r="AO78" s="5">
        <v>0.9012</v>
      </c>
      <c r="AP78" s="3">
        <v>212</v>
      </c>
    </row>
    <row r="79" spans="1:42">
      <c r="A79" s="4" t="str">
        <f>_xlfn.XLOOKUP(Table1[[#This Row],[SAP]],'Location List'!B:B,'Location List'!G:G)</f>
        <v>DFW EAST</v>
      </c>
      <c r="B79" s="4" t="str">
        <f>LEFT(Table1[[#This Row],[Sap: Loaction]],4)</f>
        <v>1357</v>
      </c>
      <c r="C79" t="s">
        <v>505</v>
      </c>
      <c r="D79" t="s">
        <v>568</v>
      </c>
      <c r="E79" s="3">
        <v>5</v>
      </c>
      <c r="F79" s="3">
        <v>305</v>
      </c>
      <c r="G79">
        <v>245.85</v>
      </c>
      <c r="H79" t="s">
        <v>470</v>
      </c>
      <c r="I79" s="6">
        <v>42.546900000000001</v>
      </c>
      <c r="J79" s="6">
        <v>39.998965873836603</v>
      </c>
      <c r="K79" s="5">
        <v>1.0637000000000001</v>
      </c>
      <c r="L79" s="3">
        <v>149</v>
      </c>
      <c r="M79">
        <v>263</v>
      </c>
      <c r="N79">
        <v>259.161</v>
      </c>
      <c r="O79" s="5">
        <v>1.0147999999999999</v>
      </c>
      <c r="P79" s="3">
        <v>172</v>
      </c>
      <c r="Q79">
        <v>359</v>
      </c>
      <c r="R79">
        <v>2407</v>
      </c>
      <c r="S79" s="5">
        <v>0.14914831740756129</v>
      </c>
      <c r="T79" s="5">
        <v>0.23998120258658293</v>
      </c>
      <c r="U79" s="5">
        <v>0.62150000000000005</v>
      </c>
      <c r="V79" s="3">
        <v>273</v>
      </c>
      <c r="W79" s="5">
        <v>0.73118263984980614</v>
      </c>
      <c r="X79" s="3">
        <v>327</v>
      </c>
      <c r="Y79">
        <v>8.1372999999999998</v>
      </c>
      <c r="Z79" s="3">
        <v>307</v>
      </c>
      <c r="AA79">
        <v>11</v>
      </c>
      <c r="AB79">
        <v>350</v>
      </c>
      <c r="AC79" s="5">
        <v>3.1428571428571431E-2</v>
      </c>
      <c r="AD79" s="5">
        <v>0.1</v>
      </c>
      <c r="AE79" s="5">
        <v>0.31430000000000002</v>
      </c>
      <c r="AF79" s="3">
        <v>281</v>
      </c>
      <c r="AG79" s="5">
        <v>0.28633966666666666</v>
      </c>
      <c r="AH79" s="5">
        <v>0.4</v>
      </c>
      <c r="AI79" s="5">
        <v>0.71579999999999999</v>
      </c>
      <c r="AJ79" s="3">
        <v>206</v>
      </c>
      <c r="AK79">
        <v>35</v>
      </c>
      <c r="AL79">
        <v>65</v>
      </c>
      <c r="AM79" s="5">
        <v>0.53846153846153844</v>
      </c>
      <c r="AN79" s="5">
        <v>0.8</v>
      </c>
      <c r="AO79" s="5">
        <v>0.67310000000000003</v>
      </c>
      <c r="AP79" s="3">
        <v>306</v>
      </c>
    </row>
    <row r="80" spans="1:42">
      <c r="A80" s="4" t="str">
        <f>_xlfn.XLOOKUP(Table1[[#This Row],[SAP]],'Location List'!B:B,'Location List'!G:G)</f>
        <v>CENTRAL TEXAS</v>
      </c>
      <c r="B80" s="4" t="str">
        <f>LEFT(Table1[[#This Row],[Sap: Loaction]],4)</f>
        <v>1DST</v>
      </c>
      <c r="C80" t="s">
        <v>505</v>
      </c>
      <c r="D80" t="s">
        <v>558</v>
      </c>
      <c r="E80" s="3">
        <v>5</v>
      </c>
      <c r="F80" s="3">
        <v>306</v>
      </c>
      <c r="G80">
        <v>246.6</v>
      </c>
      <c r="H80" t="s">
        <v>470</v>
      </c>
      <c r="I80" s="6">
        <v>36.091799999999999</v>
      </c>
      <c r="J80" s="6">
        <v>39.999778344231409</v>
      </c>
      <c r="K80" s="5">
        <v>0.90229999999999999</v>
      </c>
      <c r="L80" s="3">
        <v>223</v>
      </c>
      <c r="M80">
        <v>102</v>
      </c>
      <c r="N80">
        <v>120.04</v>
      </c>
      <c r="O80" s="5">
        <v>0.84970000000000001</v>
      </c>
      <c r="P80" s="3">
        <v>238</v>
      </c>
      <c r="Q80">
        <v>168</v>
      </c>
      <c r="R80">
        <v>1371</v>
      </c>
      <c r="S80" s="5">
        <v>0.12253829321663019</v>
      </c>
      <c r="T80" s="5">
        <v>0.23998882337765409</v>
      </c>
      <c r="U80" s="5">
        <v>0.51060000000000005</v>
      </c>
      <c r="V80" s="3">
        <v>333</v>
      </c>
      <c r="W80" s="5">
        <v>1.0322534277570554</v>
      </c>
      <c r="X80" s="3">
        <v>217</v>
      </c>
      <c r="Y80">
        <v>8.6486000000000001</v>
      </c>
      <c r="Z80" s="3">
        <v>251</v>
      </c>
      <c r="AA80">
        <v>7</v>
      </c>
      <c r="AB80">
        <v>186</v>
      </c>
      <c r="AC80" s="5">
        <v>3.7634408602150539E-2</v>
      </c>
      <c r="AD80" s="5">
        <v>0.1</v>
      </c>
      <c r="AE80" s="5">
        <v>0.37630000000000002</v>
      </c>
      <c r="AF80" s="3">
        <v>268</v>
      </c>
      <c r="AG80" s="5">
        <v>0.28594966666666666</v>
      </c>
      <c r="AH80" s="5">
        <v>0.4</v>
      </c>
      <c r="AI80" s="5">
        <v>0.71489999999999998</v>
      </c>
      <c r="AJ80" s="3">
        <v>207</v>
      </c>
      <c r="AK80">
        <v>34</v>
      </c>
      <c r="AL80">
        <v>46</v>
      </c>
      <c r="AM80" s="5">
        <v>0.73913043478260865</v>
      </c>
      <c r="AN80" s="5">
        <v>0.8</v>
      </c>
      <c r="AO80" s="5">
        <v>0.92390000000000005</v>
      </c>
      <c r="AP80" s="3">
        <v>198</v>
      </c>
    </row>
    <row r="81" spans="1:42">
      <c r="A81" s="4" t="str">
        <f>_xlfn.XLOOKUP(Table1[[#This Row],[SAP]],'Location List'!B:B,'Location List'!G:G)</f>
        <v>SA SOUTH</v>
      </c>
      <c r="B81" s="4" t="str">
        <f>LEFT(Table1[[#This Row],[Sap: Loaction]],4)</f>
        <v>1VSE</v>
      </c>
      <c r="C81" t="s">
        <v>505</v>
      </c>
      <c r="D81" t="s">
        <v>594</v>
      </c>
      <c r="E81" s="3">
        <v>5</v>
      </c>
      <c r="F81" s="3">
        <v>307</v>
      </c>
      <c r="G81">
        <v>247.5</v>
      </c>
      <c r="H81" t="s">
        <v>470</v>
      </c>
      <c r="I81" s="6">
        <v>27.2515</v>
      </c>
      <c r="J81" s="6">
        <v>35.000642178268691</v>
      </c>
      <c r="K81" s="5">
        <v>0.77859999999999996</v>
      </c>
      <c r="L81" s="3">
        <v>283</v>
      </c>
      <c r="M81">
        <v>107</v>
      </c>
      <c r="N81">
        <v>118.455</v>
      </c>
      <c r="O81" s="5">
        <v>0.90329999999999999</v>
      </c>
      <c r="P81" s="3">
        <v>220</v>
      </c>
      <c r="Q81">
        <v>163</v>
      </c>
      <c r="R81">
        <v>1010</v>
      </c>
      <c r="S81" s="5">
        <v>0.16138613861386139</v>
      </c>
      <c r="T81" s="5">
        <v>0.24001507824786047</v>
      </c>
      <c r="U81" s="5">
        <v>0.6724</v>
      </c>
      <c r="V81" s="3">
        <v>239</v>
      </c>
      <c r="W81" s="5">
        <v>0.52422554497585849</v>
      </c>
      <c r="X81" s="3">
        <v>349</v>
      </c>
      <c r="Y81">
        <v>8.7727000000000004</v>
      </c>
      <c r="Z81" s="3">
        <v>225</v>
      </c>
      <c r="AA81">
        <v>7</v>
      </c>
      <c r="AB81">
        <v>98</v>
      </c>
      <c r="AC81" s="5">
        <v>7.1428571428571425E-2</v>
      </c>
      <c r="AD81" s="5">
        <v>0.1</v>
      </c>
      <c r="AE81" s="5">
        <v>0.71430000000000005</v>
      </c>
      <c r="AF81" s="3">
        <v>184</v>
      </c>
      <c r="AG81" s="5">
        <v>0.274281</v>
      </c>
      <c r="AH81" s="5">
        <v>0.4</v>
      </c>
      <c r="AI81" s="5">
        <v>0.68569999999999998</v>
      </c>
      <c r="AJ81" s="3">
        <v>220</v>
      </c>
      <c r="AK81">
        <v>12</v>
      </c>
      <c r="AL81">
        <v>21</v>
      </c>
      <c r="AM81" s="5">
        <v>0.5714285714285714</v>
      </c>
      <c r="AN81" s="5">
        <v>0.8</v>
      </c>
      <c r="AO81" s="5">
        <v>0.71430000000000005</v>
      </c>
      <c r="AP81" s="3">
        <v>292</v>
      </c>
    </row>
    <row r="82" spans="1:42">
      <c r="A82" s="4" t="str">
        <f>_xlfn.XLOOKUP(Table1[[#This Row],[SAP]],'Location List'!B:B,'Location List'!G:G)</f>
        <v>SA SOUTH</v>
      </c>
      <c r="B82" s="4" t="str">
        <f>LEFT(Table1[[#This Row],[Sap: Loaction]],4)</f>
        <v>5441</v>
      </c>
      <c r="C82" t="s">
        <v>505</v>
      </c>
      <c r="D82" t="s">
        <v>554</v>
      </c>
      <c r="E82" s="3">
        <v>5</v>
      </c>
      <c r="F82" s="3">
        <v>307</v>
      </c>
      <c r="G82">
        <v>247.5</v>
      </c>
      <c r="H82" t="s">
        <v>470</v>
      </c>
      <c r="I82" s="6">
        <v>47.840299999999999</v>
      </c>
      <c r="J82" s="6">
        <v>40.000250836120401</v>
      </c>
      <c r="K82" s="5">
        <v>1.196</v>
      </c>
      <c r="L82" s="3">
        <v>101</v>
      </c>
      <c r="M82">
        <v>136</v>
      </c>
      <c r="N82">
        <v>157.40600000000001</v>
      </c>
      <c r="O82" s="5">
        <v>0.86399999999999999</v>
      </c>
      <c r="P82" s="3">
        <v>235</v>
      </c>
      <c r="Q82">
        <v>239</v>
      </c>
      <c r="R82">
        <v>1748</v>
      </c>
      <c r="S82" s="5">
        <v>0.13672768878718536</v>
      </c>
      <c r="T82" s="5">
        <v>0.23999945372509279</v>
      </c>
      <c r="U82" s="5">
        <v>0.56969999999999998</v>
      </c>
      <c r="V82" s="3">
        <v>307</v>
      </c>
      <c r="W82" s="5">
        <v>0.76215855845144886</v>
      </c>
      <c r="X82" s="3">
        <v>315</v>
      </c>
      <c r="Y82">
        <v>7.7272999999999996</v>
      </c>
      <c r="Z82" s="3">
        <v>332</v>
      </c>
      <c r="AA82">
        <v>7</v>
      </c>
      <c r="AB82">
        <v>173</v>
      </c>
      <c r="AC82" s="5">
        <v>4.046242774566474E-2</v>
      </c>
      <c r="AD82" s="5">
        <v>0.1</v>
      </c>
      <c r="AE82" s="5">
        <v>0.40460000000000002</v>
      </c>
      <c r="AF82" s="3">
        <v>255</v>
      </c>
      <c r="AG82" s="5">
        <v>0.25143233333333331</v>
      </c>
      <c r="AH82" s="5">
        <v>0.4</v>
      </c>
      <c r="AI82" s="5">
        <v>0.62860000000000005</v>
      </c>
      <c r="AJ82" s="3">
        <v>244</v>
      </c>
      <c r="AK82">
        <v>23</v>
      </c>
      <c r="AL82">
        <v>33</v>
      </c>
      <c r="AM82" s="5">
        <v>0.69696969696969702</v>
      </c>
      <c r="AN82" s="5">
        <v>0.8</v>
      </c>
      <c r="AO82" s="5">
        <v>0.87119999999999997</v>
      </c>
      <c r="AP82" s="3">
        <v>237</v>
      </c>
    </row>
    <row r="83" spans="1:42">
      <c r="A83" s="4" t="str">
        <f>_xlfn.XLOOKUP(Table1[[#This Row],[SAP]],'Location List'!B:B,'Location List'!G:G)</f>
        <v>DFW NORTH</v>
      </c>
      <c r="B83" s="4" t="str">
        <f>LEFT(Table1[[#This Row],[Sap: Loaction]],4)</f>
        <v>5761</v>
      </c>
      <c r="C83" t="s">
        <v>505</v>
      </c>
      <c r="D83" t="s">
        <v>572</v>
      </c>
      <c r="E83" s="3">
        <v>5</v>
      </c>
      <c r="F83" s="3">
        <v>309</v>
      </c>
      <c r="G83">
        <v>247.65</v>
      </c>
      <c r="H83" t="s">
        <v>470</v>
      </c>
      <c r="I83" s="6">
        <v>28.394200000000001</v>
      </c>
      <c r="J83" s="6">
        <v>29.999154780771264</v>
      </c>
      <c r="K83" s="5">
        <v>0.94650000000000001</v>
      </c>
      <c r="L83" s="3">
        <v>203</v>
      </c>
      <c r="M83">
        <v>41</v>
      </c>
      <c r="N83">
        <v>43.725000000000001</v>
      </c>
      <c r="O83" s="5">
        <v>0.93769999999999998</v>
      </c>
      <c r="P83" s="3">
        <v>203</v>
      </c>
      <c r="Q83">
        <v>52</v>
      </c>
      <c r="R83">
        <v>411</v>
      </c>
      <c r="S83" s="5">
        <v>0.12652068126520682</v>
      </c>
      <c r="T83" s="5">
        <v>0.23998611772611309</v>
      </c>
      <c r="U83" s="5">
        <v>0.5272</v>
      </c>
      <c r="V83" s="3">
        <v>326</v>
      </c>
      <c r="W83" s="5">
        <v>1.2869602365982868</v>
      </c>
      <c r="X83" s="3">
        <v>113</v>
      </c>
      <c r="Y83">
        <v>8.2857000000000003</v>
      </c>
      <c r="Z83" s="3">
        <v>302</v>
      </c>
      <c r="AA83">
        <v>1</v>
      </c>
      <c r="AB83">
        <v>53</v>
      </c>
      <c r="AC83" s="5">
        <v>1.8867924528301886E-2</v>
      </c>
      <c r="AD83" s="5">
        <v>0.1</v>
      </c>
      <c r="AE83" s="5">
        <v>0.18870000000000001</v>
      </c>
      <c r="AF83" s="3">
        <v>319</v>
      </c>
      <c r="AG83" s="5">
        <v>0.25925900000000002</v>
      </c>
      <c r="AH83" s="5">
        <v>0.4</v>
      </c>
      <c r="AI83" s="5">
        <v>0.64810000000000001</v>
      </c>
      <c r="AJ83" s="3">
        <v>233</v>
      </c>
      <c r="AK83">
        <v>4</v>
      </c>
      <c r="AL83">
        <v>6</v>
      </c>
      <c r="AM83" s="5">
        <v>0.66666666666666663</v>
      </c>
      <c r="AN83" s="5">
        <v>0.8</v>
      </c>
      <c r="AO83" s="5">
        <v>0.83330000000000004</v>
      </c>
      <c r="AP83" s="3">
        <v>252</v>
      </c>
    </row>
    <row r="84" spans="1:42">
      <c r="A84" s="4" t="str">
        <f>_xlfn.XLOOKUP(Table1[[#This Row],[SAP]],'Location List'!B:B,'Location List'!G:G)</f>
        <v>CENTRAL TEXAS</v>
      </c>
      <c r="B84" s="4" t="str">
        <f>LEFT(Table1[[#This Row],[Sap: Loaction]],4)</f>
        <v>1DSG</v>
      </c>
      <c r="C84" t="s">
        <v>505</v>
      </c>
      <c r="D84" t="s">
        <v>584</v>
      </c>
      <c r="E84" s="3">
        <v>5</v>
      </c>
      <c r="F84" s="3">
        <v>311</v>
      </c>
      <c r="G84">
        <v>250.2</v>
      </c>
      <c r="H84" t="s">
        <v>470</v>
      </c>
      <c r="I84" s="6">
        <v>27.486799999999999</v>
      </c>
      <c r="J84" s="6">
        <v>30.000873171796549</v>
      </c>
      <c r="K84" s="5">
        <v>0.91620000000000001</v>
      </c>
      <c r="L84" s="3">
        <v>217</v>
      </c>
      <c r="M84">
        <v>67</v>
      </c>
      <c r="N84">
        <v>81.884</v>
      </c>
      <c r="O84" s="5">
        <v>0.81820000000000004</v>
      </c>
      <c r="P84" s="3">
        <v>258</v>
      </c>
      <c r="Q84">
        <v>93</v>
      </c>
      <c r="R84">
        <v>764</v>
      </c>
      <c r="S84" s="5">
        <v>0.12172774869109948</v>
      </c>
      <c r="T84" s="5">
        <v>0.23999950451715199</v>
      </c>
      <c r="U84" s="5">
        <v>0.50719999999999998</v>
      </c>
      <c r="V84" s="3">
        <v>337</v>
      </c>
      <c r="W84" s="5">
        <v>0.75722661527962309</v>
      </c>
      <c r="X84" s="3">
        <v>318</v>
      </c>
      <c r="Y84">
        <v>8.9091000000000005</v>
      </c>
      <c r="Z84" s="3">
        <v>197</v>
      </c>
      <c r="AA84">
        <v>5</v>
      </c>
      <c r="AB84">
        <v>100</v>
      </c>
      <c r="AC84" s="5">
        <v>0.05</v>
      </c>
      <c r="AD84" s="5">
        <v>0.1</v>
      </c>
      <c r="AE84" s="5">
        <v>0.5</v>
      </c>
      <c r="AF84" s="3">
        <v>230</v>
      </c>
      <c r="AG84" s="5">
        <v>0.30311666666666665</v>
      </c>
      <c r="AH84" s="5">
        <v>0.4</v>
      </c>
      <c r="AI84" s="5">
        <v>0.75780000000000003</v>
      </c>
      <c r="AJ84" s="3">
        <v>186</v>
      </c>
      <c r="AK84">
        <v>16</v>
      </c>
      <c r="AL84">
        <v>23</v>
      </c>
      <c r="AM84" s="5">
        <v>0.69565217391304346</v>
      </c>
      <c r="AN84" s="5">
        <v>0.8</v>
      </c>
      <c r="AO84" s="5">
        <v>0.86960000000000004</v>
      </c>
      <c r="AP84" s="3">
        <v>238</v>
      </c>
    </row>
    <row r="85" spans="1:42">
      <c r="A85" s="4" t="str">
        <f>_xlfn.XLOOKUP(Table1[[#This Row],[SAP]],'Location List'!B:B,'Location List'!G:G)</f>
        <v>MO/IA/NE</v>
      </c>
      <c r="B85" s="4" t="str">
        <f>LEFT(Table1[[#This Row],[Sap: Loaction]],4)</f>
        <v>4BSP</v>
      </c>
      <c r="C85" t="s">
        <v>505</v>
      </c>
      <c r="D85" t="s">
        <v>588</v>
      </c>
      <c r="E85" s="3">
        <v>5</v>
      </c>
      <c r="F85" s="3">
        <v>313</v>
      </c>
      <c r="G85">
        <v>250.45</v>
      </c>
      <c r="H85" t="s">
        <v>470</v>
      </c>
      <c r="I85" s="6">
        <v>25.7407</v>
      </c>
      <c r="J85" s="6">
        <v>30.000815850815851</v>
      </c>
      <c r="K85" s="5">
        <v>0.85799999999999998</v>
      </c>
      <c r="L85" s="3">
        <v>244</v>
      </c>
      <c r="M85">
        <v>58</v>
      </c>
      <c r="N85">
        <v>83.471999999999994</v>
      </c>
      <c r="O85" s="5">
        <v>0.69479999999999997</v>
      </c>
      <c r="P85" s="3">
        <v>303</v>
      </c>
      <c r="Q85">
        <v>121</v>
      </c>
      <c r="R85">
        <v>985</v>
      </c>
      <c r="S85" s="5">
        <v>0.12284263959390863</v>
      </c>
      <c r="T85" s="5">
        <v>0.24002078857739084</v>
      </c>
      <c r="U85" s="5">
        <v>0.51180000000000003</v>
      </c>
      <c r="V85" s="3">
        <v>332</v>
      </c>
      <c r="W85" s="5">
        <v>1.2578576311082788</v>
      </c>
      <c r="X85" s="3">
        <v>132</v>
      </c>
      <c r="Y85">
        <v>9.5789000000000009</v>
      </c>
      <c r="Z85" s="3">
        <v>49</v>
      </c>
      <c r="AA85">
        <v>4</v>
      </c>
      <c r="AB85">
        <v>106</v>
      </c>
      <c r="AC85" s="5">
        <v>3.7735849056603772E-2</v>
      </c>
      <c r="AD85" s="5">
        <v>0.1</v>
      </c>
      <c r="AE85" s="5">
        <v>0.37740000000000001</v>
      </c>
      <c r="AF85" s="3">
        <v>266</v>
      </c>
      <c r="AG85" s="5">
        <v>0.13807866666666666</v>
      </c>
      <c r="AH85" s="5">
        <v>0.4</v>
      </c>
      <c r="AI85" s="5">
        <v>0.34520000000000001</v>
      </c>
      <c r="AJ85" s="3">
        <v>348</v>
      </c>
      <c r="AK85">
        <v>13</v>
      </c>
      <c r="AL85">
        <v>20</v>
      </c>
      <c r="AM85" s="5">
        <v>0.65</v>
      </c>
      <c r="AN85" s="5">
        <v>0.8</v>
      </c>
      <c r="AO85" s="5">
        <v>0.8125</v>
      </c>
      <c r="AP85" s="3">
        <v>258</v>
      </c>
    </row>
    <row r="86" spans="1:42">
      <c r="A86" s="4" t="str">
        <f>_xlfn.XLOOKUP(Table1[[#This Row],[SAP]],'Location List'!B:B,'Location List'!G:G)</f>
        <v>MO/IA/NE</v>
      </c>
      <c r="B86" s="4" t="str">
        <f>LEFT(Table1[[#This Row],[Sap: Loaction]],4)</f>
        <v>4BSH</v>
      </c>
      <c r="C86" t="s">
        <v>505</v>
      </c>
      <c r="D86" t="s">
        <v>597</v>
      </c>
      <c r="E86" s="3">
        <v>5</v>
      </c>
      <c r="F86" s="3">
        <v>319</v>
      </c>
      <c r="G86">
        <v>254.55</v>
      </c>
      <c r="H86" t="s">
        <v>470</v>
      </c>
      <c r="I86" s="6">
        <v>26.476400000000002</v>
      </c>
      <c r="J86" s="6">
        <v>34.99854593522803</v>
      </c>
      <c r="K86" s="5">
        <v>0.75649999999999995</v>
      </c>
      <c r="L86" s="3">
        <v>292</v>
      </c>
      <c r="M86">
        <v>93</v>
      </c>
      <c r="N86">
        <v>105.72799999999999</v>
      </c>
      <c r="O86" s="5">
        <v>0.87960000000000005</v>
      </c>
      <c r="P86" s="3">
        <v>229</v>
      </c>
      <c r="Q86">
        <v>177</v>
      </c>
      <c r="R86">
        <v>1133</v>
      </c>
      <c r="S86" s="5">
        <v>0.15622241835834069</v>
      </c>
      <c r="T86" s="5">
        <v>0.24000986074410921</v>
      </c>
      <c r="U86" s="5">
        <v>0.65090000000000003</v>
      </c>
      <c r="V86" s="3">
        <v>256</v>
      </c>
      <c r="W86" s="5">
        <v>1.1978111391644757</v>
      </c>
      <c r="X86" s="3">
        <v>152</v>
      </c>
      <c r="Y86">
        <v>8.9600000000000009</v>
      </c>
      <c r="Z86" s="3">
        <v>186</v>
      </c>
      <c r="AA86">
        <v>9</v>
      </c>
      <c r="AB86">
        <v>226</v>
      </c>
      <c r="AC86" s="5">
        <v>3.9823008849557522E-2</v>
      </c>
      <c r="AD86" s="5">
        <v>0.1</v>
      </c>
      <c r="AE86" s="5">
        <v>0.3982</v>
      </c>
      <c r="AF86" s="3">
        <v>256</v>
      </c>
      <c r="AG86" s="5">
        <v>0.12910099999999999</v>
      </c>
      <c r="AH86" s="5">
        <v>0.4</v>
      </c>
      <c r="AI86" s="5">
        <v>0.32279999999999998</v>
      </c>
      <c r="AJ86" s="3">
        <v>354</v>
      </c>
      <c r="AK86">
        <v>13</v>
      </c>
      <c r="AL86">
        <v>24</v>
      </c>
      <c r="AM86" s="5">
        <v>0.54166666666666663</v>
      </c>
      <c r="AN86" s="5">
        <v>0.8</v>
      </c>
      <c r="AO86" s="5">
        <v>0.67710000000000004</v>
      </c>
      <c r="AP86" s="3">
        <v>304</v>
      </c>
    </row>
    <row r="87" spans="1:42">
      <c r="A87" s="4" t="str">
        <f>_xlfn.XLOOKUP(Table1[[#This Row],[SAP]],'Location List'!B:B,'Location List'!G:G)</f>
        <v>KS/OK</v>
      </c>
      <c r="B87" s="4" t="str">
        <f>LEFT(Table1[[#This Row],[Sap: Loaction]],4)</f>
        <v>857C</v>
      </c>
      <c r="C87" t="s">
        <v>505</v>
      </c>
      <c r="D87" t="s">
        <v>591</v>
      </c>
      <c r="E87" s="3">
        <v>5</v>
      </c>
      <c r="F87" s="3">
        <v>321</v>
      </c>
      <c r="G87">
        <v>255.05</v>
      </c>
      <c r="H87" t="s">
        <v>470</v>
      </c>
      <c r="I87" s="6">
        <v>29.5932</v>
      </c>
      <c r="J87" s="6">
        <v>40.001622060016217</v>
      </c>
      <c r="K87" s="5">
        <v>0.73980000000000001</v>
      </c>
      <c r="L87" s="3">
        <v>299</v>
      </c>
      <c r="M87">
        <v>99</v>
      </c>
      <c r="N87">
        <v>128.78700000000001</v>
      </c>
      <c r="O87" s="5">
        <v>0.76870000000000005</v>
      </c>
      <c r="P87" s="3">
        <v>284</v>
      </c>
      <c r="Q87">
        <v>194</v>
      </c>
      <c r="R87">
        <v>1564</v>
      </c>
      <c r="S87" s="5">
        <v>0.12404092071611253</v>
      </c>
      <c r="T87" s="5">
        <v>0.24001726144758614</v>
      </c>
      <c r="U87" s="5">
        <v>0.51680000000000004</v>
      </c>
      <c r="V87" s="3">
        <v>330</v>
      </c>
      <c r="W87" s="5">
        <v>1.0471603212800575</v>
      </c>
      <c r="X87" s="3">
        <v>212</v>
      </c>
      <c r="Y87">
        <v>9.3077000000000005</v>
      </c>
      <c r="Z87" s="3">
        <v>105</v>
      </c>
      <c r="AA87">
        <v>6</v>
      </c>
      <c r="AB87">
        <v>129</v>
      </c>
      <c r="AC87" s="5">
        <v>4.6511627906976744E-2</v>
      </c>
      <c r="AD87" s="5">
        <v>0.1</v>
      </c>
      <c r="AE87" s="5">
        <v>0.46510000000000001</v>
      </c>
      <c r="AF87" s="3">
        <v>238</v>
      </c>
      <c r="AG87" s="5">
        <v>0.30673966666666669</v>
      </c>
      <c r="AH87" s="5">
        <v>0.4</v>
      </c>
      <c r="AI87" s="5">
        <v>0.76680000000000004</v>
      </c>
      <c r="AJ87" s="3">
        <v>178</v>
      </c>
      <c r="AK87">
        <v>14</v>
      </c>
      <c r="AL87">
        <v>30</v>
      </c>
      <c r="AM87" s="5">
        <v>0.46666666666666667</v>
      </c>
      <c r="AN87" s="5">
        <v>0.8</v>
      </c>
      <c r="AO87" s="5">
        <v>0.58330000000000004</v>
      </c>
      <c r="AP87" s="3">
        <v>329</v>
      </c>
    </row>
    <row r="88" spans="1:42">
      <c r="A88" s="4" t="str">
        <f>_xlfn.XLOOKUP(Table1[[#This Row],[SAP]],'Location List'!B:B,'Location List'!G:G)</f>
        <v>DFW EAST</v>
      </c>
      <c r="B88" s="4" t="str">
        <f>LEFT(Table1[[#This Row],[Sap: Loaction]],4)</f>
        <v>5564</v>
      </c>
      <c r="C88" t="s">
        <v>505</v>
      </c>
      <c r="D88" t="s">
        <v>561</v>
      </c>
      <c r="E88" s="3">
        <v>5</v>
      </c>
      <c r="F88" s="3">
        <v>325</v>
      </c>
      <c r="G88">
        <v>258.55</v>
      </c>
      <c r="H88" t="s">
        <v>470</v>
      </c>
      <c r="I88" s="6">
        <v>33.541499999999999</v>
      </c>
      <c r="J88" s="6">
        <v>35.001043514557026</v>
      </c>
      <c r="K88" s="5">
        <v>0.95830000000000004</v>
      </c>
      <c r="L88" s="3">
        <v>194</v>
      </c>
      <c r="M88">
        <v>95</v>
      </c>
      <c r="N88">
        <v>130.37799999999999</v>
      </c>
      <c r="O88" s="5">
        <v>0.72870000000000001</v>
      </c>
      <c r="P88" s="3">
        <v>294</v>
      </c>
      <c r="Q88">
        <v>147</v>
      </c>
      <c r="R88">
        <v>1022</v>
      </c>
      <c r="S88" s="5">
        <v>0.14383561643835616</v>
      </c>
      <c r="T88" s="5">
        <v>0.24000603443743726</v>
      </c>
      <c r="U88" s="5">
        <v>0.59930000000000005</v>
      </c>
      <c r="V88" s="3">
        <v>285</v>
      </c>
      <c r="W88" s="5">
        <v>1.0011235050328895</v>
      </c>
      <c r="X88" s="3">
        <v>226</v>
      </c>
      <c r="Y88">
        <v>9.1538000000000004</v>
      </c>
      <c r="Z88" s="3">
        <v>143</v>
      </c>
      <c r="AA88">
        <v>7</v>
      </c>
      <c r="AB88">
        <v>210</v>
      </c>
      <c r="AC88" s="5">
        <v>3.3333333333333333E-2</v>
      </c>
      <c r="AD88" s="5">
        <v>0.1</v>
      </c>
      <c r="AE88" s="5">
        <v>0.33329999999999999</v>
      </c>
      <c r="AF88" s="3">
        <v>274</v>
      </c>
      <c r="AG88" s="5">
        <v>0.13565199999999999</v>
      </c>
      <c r="AH88" s="5">
        <v>0.4</v>
      </c>
      <c r="AI88" s="5">
        <v>0.33910000000000001</v>
      </c>
      <c r="AJ88" s="3">
        <v>349</v>
      </c>
      <c r="AK88">
        <v>10</v>
      </c>
      <c r="AL88">
        <v>18</v>
      </c>
      <c r="AM88" s="5">
        <v>0.55555555555555558</v>
      </c>
      <c r="AN88" s="5">
        <v>0.8</v>
      </c>
      <c r="AO88" s="5">
        <v>0.69440000000000002</v>
      </c>
      <c r="AP88" s="3">
        <v>297</v>
      </c>
    </row>
    <row r="89" spans="1:42">
      <c r="A89" s="4" t="str">
        <f>_xlfn.XLOOKUP(Table1[[#This Row],[SAP]],'Location List'!B:B,'Location List'!G:G)</f>
        <v>SA/HILL COUNTRY</v>
      </c>
      <c r="B89" s="4" t="str">
        <f>LEFT(Table1[[#This Row],[Sap: Loaction]],4)</f>
        <v>767D</v>
      </c>
      <c r="C89" t="s">
        <v>505</v>
      </c>
      <c r="D89" t="s">
        <v>581</v>
      </c>
      <c r="E89" s="3">
        <v>5</v>
      </c>
      <c r="F89" s="3">
        <v>329</v>
      </c>
      <c r="G89">
        <v>261.5</v>
      </c>
      <c r="H89" t="s">
        <v>470</v>
      </c>
      <c r="I89" s="6">
        <v>21.6035</v>
      </c>
      <c r="J89" s="6">
        <v>35.002430330524952</v>
      </c>
      <c r="K89" s="5">
        <v>0.61719999999999997</v>
      </c>
      <c r="L89" s="3">
        <v>332</v>
      </c>
      <c r="M89">
        <v>72</v>
      </c>
      <c r="N89">
        <v>105.736</v>
      </c>
      <c r="O89" s="5">
        <v>0.68089999999999995</v>
      </c>
      <c r="P89" s="3">
        <v>305</v>
      </c>
      <c r="Q89">
        <v>109</v>
      </c>
      <c r="R89">
        <v>768</v>
      </c>
      <c r="S89" s="5">
        <v>0.14192708333333334</v>
      </c>
      <c r="T89" s="5">
        <v>0.23998492278209899</v>
      </c>
      <c r="U89" s="5">
        <v>0.59140000000000004</v>
      </c>
      <c r="V89" s="3">
        <v>292</v>
      </c>
      <c r="W89" s="5">
        <v>1.4732208591394342</v>
      </c>
      <c r="X89" s="3">
        <v>58</v>
      </c>
      <c r="Y89">
        <v>8.6999999999999993</v>
      </c>
      <c r="Z89" s="3">
        <v>240</v>
      </c>
      <c r="AA89">
        <v>9</v>
      </c>
      <c r="AB89">
        <v>147</v>
      </c>
      <c r="AC89" s="5">
        <v>6.1224489795918366E-2</v>
      </c>
      <c r="AD89" s="5">
        <v>0.1</v>
      </c>
      <c r="AE89" s="5">
        <v>0.61219999999999997</v>
      </c>
      <c r="AF89" s="3">
        <v>205</v>
      </c>
      <c r="AG89" s="5">
        <v>0.13338766666666665</v>
      </c>
      <c r="AH89" s="5">
        <v>0.4</v>
      </c>
      <c r="AI89" s="5">
        <v>0.33350000000000002</v>
      </c>
      <c r="AJ89" s="3">
        <v>350</v>
      </c>
      <c r="AK89">
        <v>12</v>
      </c>
      <c r="AL89">
        <v>19</v>
      </c>
      <c r="AM89" s="5">
        <v>0.63157894736842102</v>
      </c>
      <c r="AN89" s="5">
        <v>0.8</v>
      </c>
      <c r="AO89" s="5">
        <v>0.78949999999999998</v>
      </c>
      <c r="AP89" s="3">
        <v>266</v>
      </c>
    </row>
    <row r="90" spans="1:42">
      <c r="A90" s="4" t="str">
        <f>_xlfn.XLOOKUP(Table1[[#This Row],[SAP]],'Location List'!B:B,'Location List'!G:G)</f>
        <v>DFW NORTH</v>
      </c>
      <c r="B90" s="4" t="str">
        <f>LEFT(Table1[[#This Row],[Sap: Loaction]],4)</f>
        <v>1BSA</v>
      </c>
      <c r="C90" t="s">
        <v>505</v>
      </c>
      <c r="D90" t="s">
        <v>599</v>
      </c>
      <c r="E90" s="3">
        <v>5</v>
      </c>
      <c r="F90" s="3">
        <v>335</v>
      </c>
      <c r="G90">
        <v>266.85000000000002</v>
      </c>
      <c r="H90" t="s">
        <v>470</v>
      </c>
      <c r="I90" s="6">
        <v>23.340399999999999</v>
      </c>
      <c r="J90" s="6">
        <v>34.998350577297941</v>
      </c>
      <c r="K90" s="5">
        <v>0.66690000000000005</v>
      </c>
      <c r="L90" s="3">
        <v>322</v>
      </c>
      <c r="M90">
        <v>86</v>
      </c>
      <c r="N90">
        <v>84.266999999999996</v>
      </c>
      <c r="O90" s="5">
        <v>1.0206</v>
      </c>
      <c r="P90" s="3">
        <v>168</v>
      </c>
      <c r="Q90">
        <v>93</v>
      </c>
      <c r="R90">
        <v>699</v>
      </c>
      <c r="S90" s="5">
        <v>0.13304721030042918</v>
      </c>
      <c r="T90" s="5">
        <v>0.23998414556354469</v>
      </c>
      <c r="U90" s="5">
        <v>0.5544</v>
      </c>
      <c r="V90" s="3">
        <v>314</v>
      </c>
      <c r="W90" s="5">
        <v>0.84194979171732609</v>
      </c>
      <c r="X90" s="3">
        <v>289</v>
      </c>
      <c r="Y90">
        <v>8.1922999999999995</v>
      </c>
      <c r="Z90" s="3">
        <v>305</v>
      </c>
      <c r="AA90">
        <v>6</v>
      </c>
      <c r="AB90">
        <v>110</v>
      </c>
      <c r="AC90" s="5">
        <v>5.4545454545454543E-2</v>
      </c>
      <c r="AD90" s="5">
        <v>0.1</v>
      </c>
      <c r="AE90" s="5">
        <v>0.54549999999999998</v>
      </c>
      <c r="AF90" s="3">
        <v>219</v>
      </c>
      <c r="AG90" s="5">
        <v>0.29231233333333334</v>
      </c>
      <c r="AH90" s="5">
        <v>0.4</v>
      </c>
      <c r="AI90" s="5">
        <v>0.73080000000000001</v>
      </c>
      <c r="AJ90" s="3">
        <v>200</v>
      </c>
      <c r="AK90">
        <v>6</v>
      </c>
      <c r="AL90">
        <v>15</v>
      </c>
      <c r="AM90" s="5">
        <v>0.4</v>
      </c>
      <c r="AN90" s="5">
        <v>0.8</v>
      </c>
      <c r="AO90" s="5">
        <v>0.5</v>
      </c>
      <c r="AP90" s="3">
        <v>340</v>
      </c>
    </row>
    <row r="91" spans="1:42">
      <c r="A91" s="4" t="str">
        <f>_xlfn.XLOOKUP(Table1[[#This Row],[SAP]],'Location List'!B:B,'Location List'!G:G)</f>
        <v>DFW NORTH</v>
      </c>
      <c r="B91" s="4" t="str">
        <f>LEFT(Table1[[#This Row],[Sap: Loaction]],4)</f>
        <v>256E</v>
      </c>
      <c r="C91" t="s">
        <v>505</v>
      </c>
      <c r="D91" t="s">
        <v>596</v>
      </c>
      <c r="E91" s="3">
        <v>5</v>
      </c>
      <c r="F91" s="3">
        <v>345</v>
      </c>
      <c r="G91">
        <v>281.89999999999998</v>
      </c>
      <c r="H91" t="s">
        <v>470</v>
      </c>
      <c r="I91" s="6">
        <v>31.054500000000001</v>
      </c>
      <c r="J91" s="6">
        <v>34.998872985461517</v>
      </c>
      <c r="K91" s="5">
        <v>0.88729999999999998</v>
      </c>
      <c r="L91" s="3">
        <v>229</v>
      </c>
      <c r="M91">
        <v>71</v>
      </c>
      <c r="N91">
        <v>138.32400000000001</v>
      </c>
      <c r="O91" s="5">
        <v>0.51329999999999998</v>
      </c>
      <c r="P91" s="3">
        <v>334</v>
      </c>
      <c r="Q91">
        <v>117</v>
      </c>
      <c r="R91">
        <v>856</v>
      </c>
      <c r="S91" s="5">
        <v>0.13668224299065421</v>
      </c>
      <c r="T91" s="5">
        <v>0.24000393852617069</v>
      </c>
      <c r="U91" s="5">
        <v>0.56950000000000001</v>
      </c>
      <c r="V91" s="3">
        <v>308</v>
      </c>
      <c r="W91" s="5">
        <v>0.50283445513114589</v>
      </c>
      <c r="X91" s="3">
        <v>351</v>
      </c>
      <c r="Y91">
        <v>8.2857000000000003</v>
      </c>
      <c r="Z91" s="3">
        <v>302</v>
      </c>
      <c r="AA91">
        <v>0</v>
      </c>
      <c r="AB91">
        <v>144</v>
      </c>
      <c r="AC91" s="5">
        <v>0</v>
      </c>
      <c r="AD91" s="5">
        <v>0.1</v>
      </c>
      <c r="AE91" s="5">
        <v>0</v>
      </c>
      <c r="AF91" s="3">
        <v>351</v>
      </c>
      <c r="AG91" s="5">
        <v>0.30711899999999998</v>
      </c>
      <c r="AH91" s="5">
        <v>0.4</v>
      </c>
      <c r="AI91" s="5">
        <v>0.76780000000000004</v>
      </c>
      <c r="AJ91" s="3">
        <v>177</v>
      </c>
      <c r="AK91">
        <v>12</v>
      </c>
      <c r="AL91">
        <v>15</v>
      </c>
      <c r="AM91" s="5">
        <v>0.8</v>
      </c>
      <c r="AN91" s="5">
        <v>0.8</v>
      </c>
      <c r="AO91" s="5">
        <v>1</v>
      </c>
      <c r="AP91" s="3">
        <v>156</v>
      </c>
    </row>
    <row r="92" spans="1:42">
      <c r="A92" s="4" t="str">
        <f>_xlfn.XLOOKUP(Table1[[#This Row],[SAP]],'Location List'!B:B,'Location List'!G:G)</f>
        <v>MO/IA/NE</v>
      </c>
      <c r="B92" s="4" t="str">
        <f>LEFT(Table1[[#This Row],[Sap: Loaction]],4)</f>
        <v>4BSI</v>
      </c>
      <c r="C92" t="s">
        <v>505</v>
      </c>
      <c r="D92" t="s">
        <v>600</v>
      </c>
      <c r="E92" s="3">
        <v>5</v>
      </c>
      <c r="F92" s="3">
        <v>346</v>
      </c>
      <c r="G92">
        <v>282.14999999999998</v>
      </c>
      <c r="H92" t="s">
        <v>470</v>
      </c>
      <c r="I92" s="6">
        <v>16.859500000000001</v>
      </c>
      <c r="J92" s="6">
        <v>29.999110320284696</v>
      </c>
      <c r="K92" s="5">
        <v>0.56200000000000006</v>
      </c>
      <c r="L92" s="3">
        <v>337</v>
      </c>
      <c r="M92">
        <v>51</v>
      </c>
      <c r="N92">
        <v>68.367999999999995</v>
      </c>
      <c r="O92" s="5">
        <v>0.746</v>
      </c>
      <c r="P92" s="3">
        <v>290</v>
      </c>
      <c r="Q92">
        <v>94</v>
      </c>
      <c r="R92">
        <v>639</v>
      </c>
      <c r="S92" s="5">
        <v>0.14710485133020346</v>
      </c>
      <c r="T92" s="5">
        <v>0.24001444172002523</v>
      </c>
      <c r="U92" s="5">
        <v>0.6129</v>
      </c>
      <c r="V92" s="3">
        <v>280</v>
      </c>
      <c r="W92" s="5">
        <v>0.44784846233368053</v>
      </c>
      <c r="X92" s="3">
        <v>354</v>
      </c>
      <c r="Y92">
        <v>8.8000000000000007</v>
      </c>
      <c r="Z92" s="3">
        <v>220</v>
      </c>
      <c r="AA92">
        <v>3</v>
      </c>
      <c r="AB92">
        <v>114</v>
      </c>
      <c r="AC92" s="5">
        <v>2.6315789473684209E-2</v>
      </c>
      <c r="AD92" s="5">
        <v>0.1</v>
      </c>
      <c r="AE92" s="5">
        <v>0.26319999999999999</v>
      </c>
      <c r="AF92" s="3">
        <v>294</v>
      </c>
      <c r="AG92" s="5">
        <v>8.3099666666666669E-2</v>
      </c>
      <c r="AH92" s="5">
        <v>0.4</v>
      </c>
      <c r="AI92" s="5">
        <v>0.2077</v>
      </c>
      <c r="AJ92" s="3">
        <v>358</v>
      </c>
      <c r="AK92">
        <v>8</v>
      </c>
      <c r="AL92">
        <v>9</v>
      </c>
      <c r="AM92" s="5">
        <v>0.88888888888888884</v>
      </c>
      <c r="AN92" s="5">
        <v>0.8</v>
      </c>
      <c r="AO92" s="5">
        <v>1.1111</v>
      </c>
      <c r="AP92" s="3">
        <v>88</v>
      </c>
    </row>
    <row r="93" spans="1:42">
      <c r="A93" s="4" t="str">
        <f>_xlfn.XLOOKUP(Table1[[#This Row],[SAP]],'Location List'!B:B,'Location List'!G:G)</f>
        <v>SOUTH TX/RGV</v>
      </c>
      <c r="B93" s="4" t="str">
        <f>LEFT(Table1[[#This Row],[Sap: Loaction]],4)</f>
        <v>598D</v>
      </c>
      <c r="C93" t="s">
        <v>505</v>
      </c>
      <c r="D93" t="s">
        <v>593</v>
      </c>
      <c r="E93" s="3">
        <v>5</v>
      </c>
      <c r="F93" s="3">
        <v>350</v>
      </c>
      <c r="G93">
        <v>285.95</v>
      </c>
      <c r="H93" t="s">
        <v>470</v>
      </c>
      <c r="I93" s="6">
        <v>26.946200000000001</v>
      </c>
      <c r="J93" s="6">
        <v>39.997328187620603</v>
      </c>
      <c r="K93" s="5">
        <v>0.67369999999999997</v>
      </c>
      <c r="L93" s="3">
        <v>321</v>
      </c>
      <c r="M93">
        <v>59</v>
      </c>
      <c r="N93">
        <v>147.86799999999999</v>
      </c>
      <c r="O93" s="5">
        <v>0.39900000000000002</v>
      </c>
      <c r="P93" s="3">
        <v>348</v>
      </c>
      <c r="Q93">
        <v>171</v>
      </c>
      <c r="R93">
        <v>1226</v>
      </c>
      <c r="S93" s="5">
        <v>0.13947797716150082</v>
      </c>
      <c r="T93" s="5">
        <v>0.23998275492343565</v>
      </c>
      <c r="U93" s="5">
        <v>0.58120000000000005</v>
      </c>
      <c r="V93" s="3">
        <v>300</v>
      </c>
      <c r="W93" s="5">
        <v>1.087039210196221</v>
      </c>
      <c r="X93" s="3">
        <v>192</v>
      </c>
      <c r="Y93">
        <v>7.2727000000000004</v>
      </c>
      <c r="Z93" s="3">
        <v>351</v>
      </c>
      <c r="AA93">
        <v>1</v>
      </c>
      <c r="AB93">
        <v>169</v>
      </c>
      <c r="AC93" s="5">
        <v>5.9171597633136093E-3</v>
      </c>
      <c r="AD93" s="5">
        <v>0.1</v>
      </c>
      <c r="AE93" s="5">
        <v>5.9200000000000003E-2</v>
      </c>
      <c r="AF93" s="3">
        <v>348</v>
      </c>
      <c r="AG93" s="5">
        <v>0.29033333333333333</v>
      </c>
      <c r="AH93" s="5">
        <v>0.4</v>
      </c>
      <c r="AI93" s="5">
        <v>0.7258</v>
      </c>
      <c r="AJ93" s="3">
        <v>202</v>
      </c>
      <c r="AK93">
        <v>19</v>
      </c>
      <c r="AL93">
        <v>23</v>
      </c>
      <c r="AM93" s="5">
        <v>0.82608695652173914</v>
      </c>
      <c r="AN93" s="5">
        <v>0.8</v>
      </c>
      <c r="AO93" s="5">
        <v>1.0326</v>
      </c>
      <c r="AP93" s="3">
        <v>139</v>
      </c>
    </row>
    <row r="94" spans="1:42">
      <c r="A94" s="4" t="str">
        <f>_xlfn.XLOOKUP(Table1[[#This Row],[SAP]],'Location List'!B:B,'Location List'!G:G)</f>
        <v>SOUTH TX/RGV</v>
      </c>
      <c r="B94" s="4" t="str">
        <f>LEFT(Table1[[#This Row],[Sap: Loaction]],4)</f>
        <v>536E</v>
      </c>
      <c r="C94" t="s">
        <v>505</v>
      </c>
      <c r="D94" t="s">
        <v>585</v>
      </c>
      <c r="E94" s="3">
        <v>5</v>
      </c>
      <c r="F94" s="3">
        <v>351</v>
      </c>
      <c r="G94">
        <v>288.05</v>
      </c>
      <c r="H94" t="s">
        <v>470</v>
      </c>
      <c r="I94" s="6">
        <v>15.321899999999999</v>
      </c>
      <c r="J94" s="6">
        <v>30.001762287056977</v>
      </c>
      <c r="K94" s="5">
        <v>0.51070000000000004</v>
      </c>
      <c r="L94" s="3">
        <v>341</v>
      </c>
      <c r="M94">
        <v>51</v>
      </c>
      <c r="N94">
        <v>77.906000000000006</v>
      </c>
      <c r="O94" s="5">
        <v>0.65459999999999996</v>
      </c>
      <c r="P94" s="3">
        <v>311</v>
      </c>
      <c r="Q94">
        <v>79</v>
      </c>
      <c r="R94">
        <v>560</v>
      </c>
      <c r="S94" s="5">
        <v>0.14107142857142857</v>
      </c>
      <c r="T94" s="5">
        <v>0.23999902785203908</v>
      </c>
      <c r="U94" s="5">
        <v>0.58779999999999999</v>
      </c>
      <c r="V94" s="3">
        <v>296</v>
      </c>
      <c r="W94" s="5">
        <v>0.94718993122826678</v>
      </c>
      <c r="X94" s="3">
        <v>247</v>
      </c>
      <c r="Y94">
        <v>8.9285999999999994</v>
      </c>
      <c r="Z94" s="3">
        <v>194</v>
      </c>
      <c r="AA94">
        <v>4</v>
      </c>
      <c r="AB94">
        <v>92</v>
      </c>
      <c r="AC94" s="5">
        <v>4.3478260869565216E-2</v>
      </c>
      <c r="AD94" s="5">
        <v>0.1</v>
      </c>
      <c r="AE94" s="5">
        <v>0.43480000000000002</v>
      </c>
      <c r="AF94" s="3">
        <v>247</v>
      </c>
      <c r="AG94" s="5">
        <v>0.20498033333333332</v>
      </c>
      <c r="AH94" s="5">
        <v>0.4</v>
      </c>
      <c r="AI94" s="5">
        <v>0.51249999999999996</v>
      </c>
      <c r="AJ94" s="3">
        <v>298</v>
      </c>
      <c r="AK94">
        <v>2</v>
      </c>
      <c r="AL94">
        <v>7</v>
      </c>
      <c r="AM94" s="5">
        <v>0.2857142857142857</v>
      </c>
      <c r="AN94" s="5">
        <v>0.8</v>
      </c>
      <c r="AO94" s="5">
        <v>0.35709999999999997</v>
      </c>
      <c r="AP94" s="3">
        <v>349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L98"/>
  <sheetViews>
    <sheetView workbookViewId="0">
      <selection activeCell="O19" sqref="O19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customWidth="1"/>
  </cols>
  <sheetData>
    <row r="1" spans="1:1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</row>
    <row r="3" spans="1:12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</row>
    <row r="4" spans="1:12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</row>
    <row r="5" spans="1:12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</row>
    <row r="6" spans="1:12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</row>
    <row r="7" spans="1:12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</row>
    <row r="8" spans="1:12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</row>
    <row r="9" spans="1:12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</row>
    <row r="10" spans="1:12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</row>
    <row r="11" spans="1:12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</row>
    <row r="12" spans="1:12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</row>
    <row r="13" spans="1:12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</row>
    <row r="14" spans="1:12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</row>
    <row r="15" spans="1:12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</row>
    <row r="16" spans="1:12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</row>
    <row r="17" spans="1:12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</row>
    <row r="18" spans="1:12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</row>
    <row r="19" spans="1:12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</row>
    <row r="20" spans="1:12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</row>
    <row r="21" spans="1:12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</row>
    <row r="22" spans="1:12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</row>
    <row r="23" spans="1:12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</row>
    <row r="24" spans="1:12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</row>
    <row r="25" spans="1:12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</row>
    <row r="26" spans="1:12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</row>
    <row r="27" spans="1:12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</row>
    <row r="28" spans="1:12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</row>
    <row r="29" spans="1:12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</row>
    <row r="30" spans="1:12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</row>
    <row r="31" spans="1:12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</row>
    <row r="32" spans="1:12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</row>
    <row r="33" spans="1:12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</row>
    <row r="34" spans="1:12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</row>
    <row r="35" spans="1:12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</row>
    <row r="36" spans="1:12">
      <c r="A36" t="s">
        <v>175</v>
      </c>
      <c r="B36" t="s">
        <v>176</v>
      </c>
      <c r="C36" t="s">
        <v>177</v>
      </c>
      <c r="D36" t="s">
        <v>178</v>
      </c>
      <c r="E36" t="s">
        <v>105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</row>
    <row r="37" spans="1:12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17</v>
      </c>
      <c r="G37" t="s">
        <v>130</v>
      </c>
      <c r="H37" t="s">
        <v>19</v>
      </c>
      <c r="I37" t="s">
        <v>20</v>
      </c>
      <c r="J37" t="s">
        <v>131</v>
      </c>
      <c r="K37" t="s">
        <v>22</v>
      </c>
      <c r="L37" t="s">
        <v>23</v>
      </c>
    </row>
    <row r="38" spans="1:12">
      <c r="A38" t="s">
        <v>183</v>
      </c>
      <c r="B38" t="s">
        <v>184</v>
      </c>
      <c r="C38" t="s">
        <v>185</v>
      </c>
      <c r="D38" t="s">
        <v>186</v>
      </c>
      <c r="E38" t="s">
        <v>185</v>
      </c>
      <c r="F38" t="s">
        <v>187</v>
      </c>
      <c r="G38" t="s">
        <v>188</v>
      </c>
      <c r="H38" t="s">
        <v>19</v>
      </c>
      <c r="I38" t="s">
        <v>20</v>
      </c>
      <c r="J38" t="s">
        <v>189</v>
      </c>
      <c r="K38" t="s">
        <v>22</v>
      </c>
      <c r="L38" t="s">
        <v>23</v>
      </c>
    </row>
    <row r="39" spans="1:12">
      <c r="A39" t="s">
        <v>190</v>
      </c>
      <c r="B39" t="s">
        <v>191</v>
      </c>
      <c r="C39" t="s">
        <v>192</v>
      </c>
      <c r="D39" t="s">
        <v>193</v>
      </c>
      <c r="E39" t="s">
        <v>194</v>
      </c>
      <c r="F39" t="s">
        <v>187</v>
      </c>
      <c r="G39" t="s">
        <v>188</v>
      </c>
      <c r="H39" t="s">
        <v>19</v>
      </c>
      <c r="I39" t="s">
        <v>20</v>
      </c>
      <c r="J39" t="s">
        <v>189</v>
      </c>
      <c r="K39" t="s">
        <v>22</v>
      </c>
      <c r="L39" t="s">
        <v>23</v>
      </c>
    </row>
    <row r="40" spans="1:12">
      <c r="A40" t="s">
        <v>195</v>
      </c>
      <c r="B40" t="s">
        <v>196</v>
      </c>
      <c r="C40" t="s">
        <v>197</v>
      </c>
      <c r="D40" t="s">
        <v>198</v>
      </c>
      <c r="E40" t="s">
        <v>194</v>
      </c>
      <c r="F40" t="s">
        <v>187</v>
      </c>
      <c r="G40" t="s">
        <v>188</v>
      </c>
      <c r="H40" t="s">
        <v>19</v>
      </c>
      <c r="I40" t="s">
        <v>20</v>
      </c>
      <c r="J40" t="s">
        <v>189</v>
      </c>
      <c r="K40" t="s">
        <v>22</v>
      </c>
      <c r="L40" t="s">
        <v>23</v>
      </c>
    </row>
    <row r="41" spans="1:12">
      <c r="A41" t="s">
        <v>199</v>
      </c>
      <c r="B41" t="s">
        <v>200</v>
      </c>
      <c r="C41" t="s">
        <v>201</v>
      </c>
      <c r="D41" t="s">
        <v>202</v>
      </c>
      <c r="E41" t="s">
        <v>203</v>
      </c>
      <c r="F41" t="s">
        <v>204</v>
      </c>
      <c r="G41" t="s">
        <v>188</v>
      </c>
      <c r="H41" t="s">
        <v>19</v>
      </c>
      <c r="I41" t="s">
        <v>20</v>
      </c>
      <c r="J41" t="s">
        <v>189</v>
      </c>
      <c r="K41" t="s">
        <v>22</v>
      </c>
      <c r="L41" t="s">
        <v>23</v>
      </c>
    </row>
    <row r="42" spans="1:12">
      <c r="A42" t="s">
        <v>205</v>
      </c>
      <c r="B42" t="s">
        <v>206</v>
      </c>
      <c r="C42" t="s">
        <v>207</v>
      </c>
      <c r="D42" t="s">
        <v>208</v>
      </c>
      <c r="E42" t="s">
        <v>209</v>
      </c>
      <c r="F42" t="s">
        <v>204</v>
      </c>
      <c r="G42" t="s">
        <v>188</v>
      </c>
      <c r="H42" t="s">
        <v>19</v>
      </c>
      <c r="I42" t="s">
        <v>20</v>
      </c>
      <c r="J42" t="s">
        <v>189</v>
      </c>
      <c r="K42" t="s">
        <v>22</v>
      </c>
      <c r="L42" t="s">
        <v>23</v>
      </c>
    </row>
    <row r="43" spans="1:12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187</v>
      </c>
      <c r="G43" t="s">
        <v>188</v>
      </c>
      <c r="H43" t="s">
        <v>19</v>
      </c>
      <c r="I43" t="s">
        <v>20</v>
      </c>
      <c r="J43" t="s">
        <v>189</v>
      </c>
      <c r="K43" t="s">
        <v>22</v>
      </c>
      <c r="L43" t="s">
        <v>23</v>
      </c>
    </row>
    <row r="44" spans="1:12">
      <c r="A44" t="s">
        <v>214</v>
      </c>
      <c r="B44" t="s">
        <v>215</v>
      </c>
      <c r="C44" t="s">
        <v>216</v>
      </c>
      <c r="D44" t="s">
        <v>217</v>
      </c>
      <c r="E44" t="s">
        <v>216</v>
      </c>
      <c r="F44" t="s">
        <v>187</v>
      </c>
      <c r="G44" t="s">
        <v>188</v>
      </c>
      <c r="H44" t="s">
        <v>19</v>
      </c>
      <c r="I44" t="s">
        <v>20</v>
      </c>
      <c r="J44" t="s">
        <v>189</v>
      </c>
      <c r="K44" t="s">
        <v>22</v>
      </c>
      <c r="L44" t="s">
        <v>23</v>
      </c>
    </row>
    <row r="45" spans="1:12">
      <c r="A45" t="s">
        <v>218</v>
      </c>
      <c r="B45" t="s">
        <v>219</v>
      </c>
      <c r="C45" t="s">
        <v>220</v>
      </c>
      <c r="D45" t="s">
        <v>221</v>
      </c>
      <c r="E45" t="s">
        <v>220</v>
      </c>
      <c r="F45" t="s">
        <v>187</v>
      </c>
      <c r="G45" t="s">
        <v>188</v>
      </c>
      <c r="H45" t="s">
        <v>19</v>
      </c>
      <c r="I45" t="s">
        <v>20</v>
      </c>
      <c r="J45" t="s">
        <v>189</v>
      </c>
      <c r="K45" t="s">
        <v>22</v>
      </c>
      <c r="L45" t="s">
        <v>23</v>
      </c>
    </row>
    <row r="46" spans="1:12">
      <c r="A46" t="s">
        <v>222</v>
      </c>
      <c r="B46" t="s">
        <v>223</v>
      </c>
      <c r="C46" t="s">
        <v>224</v>
      </c>
      <c r="D46" t="s">
        <v>225</v>
      </c>
      <c r="E46" t="s">
        <v>226</v>
      </c>
      <c r="F46" t="s">
        <v>187</v>
      </c>
      <c r="G46" t="s">
        <v>188</v>
      </c>
      <c r="H46" t="s">
        <v>19</v>
      </c>
      <c r="I46" t="s">
        <v>20</v>
      </c>
      <c r="J46" t="s">
        <v>189</v>
      </c>
      <c r="K46" t="s">
        <v>22</v>
      </c>
      <c r="L46" t="s">
        <v>23</v>
      </c>
    </row>
    <row r="47" spans="1:12">
      <c r="A47" t="s">
        <v>227</v>
      </c>
      <c r="B47" t="s">
        <v>228</v>
      </c>
      <c r="C47" t="s">
        <v>229</v>
      </c>
      <c r="D47" t="s">
        <v>230</v>
      </c>
      <c r="E47" t="s">
        <v>231</v>
      </c>
      <c r="F47" t="s">
        <v>187</v>
      </c>
      <c r="G47" t="s">
        <v>188</v>
      </c>
      <c r="H47" t="s">
        <v>19</v>
      </c>
      <c r="I47" t="s">
        <v>20</v>
      </c>
      <c r="J47" t="s">
        <v>189</v>
      </c>
      <c r="K47" t="s">
        <v>22</v>
      </c>
      <c r="L47" t="s">
        <v>23</v>
      </c>
    </row>
    <row r="48" spans="1:12">
      <c r="A48" t="s">
        <v>232</v>
      </c>
      <c r="B48" t="s">
        <v>233</v>
      </c>
      <c r="C48" t="s">
        <v>234</v>
      </c>
      <c r="D48" t="s">
        <v>235</v>
      </c>
      <c r="E48" t="s">
        <v>234</v>
      </c>
      <c r="F48" t="s">
        <v>187</v>
      </c>
      <c r="G48" t="s">
        <v>188</v>
      </c>
      <c r="H48" t="s">
        <v>19</v>
      </c>
      <c r="I48" t="s">
        <v>20</v>
      </c>
      <c r="J48" t="s">
        <v>189</v>
      </c>
      <c r="K48" t="s">
        <v>22</v>
      </c>
      <c r="L48" t="s">
        <v>23</v>
      </c>
    </row>
    <row r="49" spans="1:12">
      <c r="A49" t="s">
        <v>236</v>
      </c>
      <c r="B49" t="s">
        <v>237</v>
      </c>
      <c r="C49" t="s">
        <v>238</v>
      </c>
      <c r="D49" t="s">
        <v>239</v>
      </c>
      <c r="E49" t="s">
        <v>240</v>
      </c>
      <c r="F49" t="s">
        <v>187</v>
      </c>
      <c r="G49" t="s">
        <v>188</v>
      </c>
      <c r="H49" t="s">
        <v>19</v>
      </c>
      <c r="I49" t="s">
        <v>20</v>
      </c>
      <c r="J49" t="s">
        <v>189</v>
      </c>
      <c r="K49" t="s">
        <v>22</v>
      </c>
      <c r="L49" t="s">
        <v>23</v>
      </c>
    </row>
    <row r="50" spans="1:12">
      <c r="A50" t="s">
        <v>241</v>
      </c>
      <c r="B50" t="s">
        <v>242</v>
      </c>
      <c r="C50" t="s">
        <v>243</v>
      </c>
      <c r="D50" t="s">
        <v>244</v>
      </c>
      <c r="E50" t="s">
        <v>243</v>
      </c>
      <c r="F50" t="s">
        <v>187</v>
      </c>
      <c r="G50" t="s">
        <v>188</v>
      </c>
      <c r="H50" t="s">
        <v>19</v>
      </c>
      <c r="I50" t="s">
        <v>20</v>
      </c>
      <c r="J50" t="s">
        <v>189</v>
      </c>
      <c r="K50" t="s">
        <v>22</v>
      </c>
      <c r="L50" t="s">
        <v>23</v>
      </c>
    </row>
    <row r="51" spans="1:12">
      <c r="A51" t="s">
        <v>245</v>
      </c>
      <c r="B51" t="s">
        <v>246</v>
      </c>
      <c r="C51" t="s">
        <v>247</v>
      </c>
      <c r="D51" t="s">
        <v>248</v>
      </c>
      <c r="E51" t="s">
        <v>249</v>
      </c>
      <c r="F51" t="s">
        <v>187</v>
      </c>
      <c r="G51" t="s">
        <v>188</v>
      </c>
      <c r="H51" t="s">
        <v>19</v>
      </c>
      <c r="I51" t="s">
        <v>20</v>
      </c>
      <c r="J51" t="s">
        <v>189</v>
      </c>
      <c r="K51" t="s">
        <v>22</v>
      </c>
      <c r="L51" t="s">
        <v>23</v>
      </c>
    </row>
    <row r="52" spans="1:12">
      <c r="A52" t="s">
        <v>250</v>
      </c>
      <c r="B52" t="s">
        <v>251</v>
      </c>
      <c r="C52" t="s">
        <v>252</v>
      </c>
      <c r="D52" t="s">
        <v>253</v>
      </c>
      <c r="E52" t="s">
        <v>252</v>
      </c>
      <c r="F52" t="s">
        <v>254</v>
      </c>
      <c r="G52" t="s">
        <v>255</v>
      </c>
      <c r="H52" t="s">
        <v>19</v>
      </c>
      <c r="I52" t="s">
        <v>20</v>
      </c>
      <c r="J52" t="s">
        <v>256</v>
      </c>
      <c r="K52" t="s">
        <v>22</v>
      </c>
      <c r="L52" t="s">
        <v>23</v>
      </c>
    </row>
    <row r="53" spans="1:12">
      <c r="A53" t="s">
        <v>257</v>
      </c>
      <c r="B53" t="s">
        <v>258</v>
      </c>
      <c r="C53" t="s">
        <v>259</v>
      </c>
      <c r="D53" t="s">
        <v>260</v>
      </c>
      <c r="E53" t="s">
        <v>261</v>
      </c>
      <c r="F53" t="s">
        <v>262</v>
      </c>
      <c r="G53" t="s">
        <v>255</v>
      </c>
      <c r="H53" t="s">
        <v>19</v>
      </c>
      <c r="I53" t="s">
        <v>20</v>
      </c>
      <c r="J53" t="s">
        <v>256</v>
      </c>
      <c r="K53" t="s">
        <v>22</v>
      </c>
      <c r="L53" t="s">
        <v>23</v>
      </c>
    </row>
    <row r="54" spans="1:12">
      <c r="A54" t="s">
        <v>263</v>
      </c>
      <c r="B54" t="s">
        <v>264</v>
      </c>
      <c r="C54" t="s">
        <v>265</v>
      </c>
      <c r="D54" t="s">
        <v>266</v>
      </c>
      <c r="E54" t="s">
        <v>267</v>
      </c>
      <c r="F54" t="s">
        <v>262</v>
      </c>
      <c r="G54" t="s">
        <v>255</v>
      </c>
      <c r="H54" t="s">
        <v>19</v>
      </c>
      <c r="I54" t="s">
        <v>20</v>
      </c>
      <c r="J54" t="s">
        <v>256</v>
      </c>
      <c r="K54" t="s">
        <v>22</v>
      </c>
      <c r="L54" t="s">
        <v>23</v>
      </c>
    </row>
    <row r="55" spans="1:12">
      <c r="A55" t="s">
        <v>268</v>
      </c>
      <c r="B55" t="s">
        <v>269</v>
      </c>
      <c r="C55" t="s">
        <v>270</v>
      </c>
      <c r="D55" t="s">
        <v>271</v>
      </c>
      <c r="E55" t="s">
        <v>270</v>
      </c>
      <c r="F55" t="s">
        <v>262</v>
      </c>
      <c r="G55" t="s">
        <v>255</v>
      </c>
      <c r="H55" t="s">
        <v>19</v>
      </c>
      <c r="I55" t="s">
        <v>20</v>
      </c>
      <c r="J55" t="s">
        <v>256</v>
      </c>
      <c r="K55" t="s">
        <v>22</v>
      </c>
      <c r="L55" t="s">
        <v>23</v>
      </c>
    </row>
    <row r="56" spans="1:12">
      <c r="A56" t="s">
        <v>272</v>
      </c>
      <c r="B56" t="s">
        <v>273</v>
      </c>
      <c r="C56" t="s">
        <v>274</v>
      </c>
      <c r="D56" t="s">
        <v>275</v>
      </c>
      <c r="E56" t="s">
        <v>276</v>
      </c>
      <c r="F56" t="s">
        <v>254</v>
      </c>
      <c r="G56" t="s">
        <v>255</v>
      </c>
      <c r="H56" t="s">
        <v>19</v>
      </c>
      <c r="I56" t="s">
        <v>20</v>
      </c>
      <c r="J56" t="s">
        <v>256</v>
      </c>
      <c r="K56" t="s">
        <v>22</v>
      </c>
      <c r="L56" t="s">
        <v>23</v>
      </c>
    </row>
    <row r="57" spans="1:12">
      <c r="A57" t="s">
        <v>277</v>
      </c>
      <c r="B57" t="s">
        <v>278</v>
      </c>
      <c r="C57" t="s">
        <v>279</v>
      </c>
      <c r="D57" t="s">
        <v>280</v>
      </c>
      <c r="E57" t="s">
        <v>279</v>
      </c>
      <c r="F57" t="s">
        <v>262</v>
      </c>
      <c r="G57" t="s">
        <v>255</v>
      </c>
      <c r="H57" t="s">
        <v>19</v>
      </c>
      <c r="I57" t="s">
        <v>20</v>
      </c>
      <c r="J57" t="s">
        <v>256</v>
      </c>
      <c r="K57" t="s">
        <v>22</v>
      </c>
      <c r="L57" t="s">
        <v>23</v>
      </c>
    </row>
    <row r="58" spans="1:12">
      <c r="A58" t="s">
        <v>281</v>
      </c>
      <c r="B58" t="s">
        <v>282</v>
      </c>
      <c r="C58" t="s">
        <v>283</v>
      </c>
      <c r="D58" t="s">
        <v>284</v>
      </c>
      <c r="E58" t="s">
        <v>283</v>
      </c>
      <c r="F58" t="s">
        <v>254</v>
      </c>
      <c r="G58" t="s">
        <v>255</v>
      </c>
      <c r="H58" t="s">
        <v>19</v>
      </c>
      <c r="I58" t="s">
        <v>20</v>
      </c>
      <c r="J58" t="s">
        <v>256</v>
      </c>
      <c r="K58" t="s">
        <v>22</v>
      </c>
      <c r="L58" t="s">
        <v>23</v>
      </c>
    </row>
    <row r="59" spans="1:12">
      <c r="A59" t="s">
        <v>285</v>
      </c>
      <c r="B59" t="s">
        <v>286</v>
      </c>
      <c r="C59" t="s">
        <v>287</v>
      </c>
      <c r="D59" t="s">
        <v>288</v>
      </c>
      <c r="E59" t="s">
        <v>287</v>
      </c>
      <c r="F59" t="s">
        <v>254</v>
      </c>
      <c r="G59" t="s">
        <v>255</v>
      </c>
      <c r="H59" t="s">
        <v>19</v>
      </c>
      <c r="I59" t="s">
        <v>20</v>
      </c>
      <c r="J59" t="s">
        <v>256</v>
      </c>
      <c r="K59" t="s">
        <v>22</v>
      </c>
      <c r="L59" t="s">
        <v>23</v>
      </c>
    </row>
    <row r="60" spans="1:12">
      <c r="A60" t="s">
        <v>289</v>
      </c>
      <c r="B60" t="s">
        <v>290</v>
      </c>
      <c r="C60" t="s">
        <v>291</v>
      </c>
      <c r="D60" t="s">
        <v>292</v>
      </c>
      <c r="E60" t="s">
        <v>293</v>
      </c>
      <c r="F60" t="s">
        <v>294</v>
      </c>
      <c r="G60" t="s">
        <v>255</v>
      </c>
      <c r="H60" t="s">
        <v>19</v>
      </c>
      <c r="I60" t="s">
        <v>20</v>
      </c>
      <c r="J60" t="s">
        <v>256</v>
      </c>
      <c r="K60" t="s">
        <v>22</v>
      </c>
      <c r="L60" t="s">
        <v>23</v>
      </c>
    </row>
    <row r="61" spans="1:12">
      <c r="A61" t="s">
        <v>295</v>
      </c>
      <c r="B61" t="s">
        <v>296</v>
      </c>
      <c r="C61" t="s">
        <v>297</v>
      </c>
      <c r="D61" t="s">
        <v>298</v>
      </c>
      <c r="E61" t="s">
        <v>293</v>
      </c>
      <c r="F61" t="s">
        <v>294</v>
      </c>
      <c r="G61" t="s">
        <v>255</v>
      </c>
      <c r="H61" t="s">
        <v>19</v>
      </c>
      <c r="I61" t="s">
        <v>20</v>
      </c>
      <c r="J61" t="s">
        <v>256</v>
      </c>
      <c r="K61" t="s">
        <v>22</v>
      </c>
      <c r="L61" t="s">
        <v>23</v>
      </c>
    </row>
    <row r="62" spans="1:12">
      <c r="A62" t="s">
        <v>299</v>
      </c>
      <c r="B62" t="s">
        <v>300</v>
      </c>
      <c r="C62" t="s">
        <v>301</v>
      </c>
      <c r="D62" t="s">
        <v>302</v>
      </c>
      <c r="E62" t="s">
        <v>293</v>
      </c>
      <c r="F62" t="s">
        <v>294</v>
      </c>
      <c r="G62" t="s">
        <v>255</v>
      </c>
      <c r="H62" t="s">
        <v>19</v>
      </c>
      <c r="I62" t="s">
        <v>20</v>
      </c>
      <c r="J62" t="s">
        <v>256</v>
      </c>
      <c r="K62" t="s">
        <v>22</v>
      </c>
      <c r="L62" t="s">
        <v>23</v>
      </c>
    </row>
    <row r="63" spans="1:12">
      <c r="A63" t="s">
        <v>303</v>
      </c>
      <c r="B63" t="s">
        <v>304</v>
      </c>
      <c r="C63" t="s">
        <v>305</v>
      </c>
      <c r="D63" t="s">
        <v>306</v>
      </c>
      <c r="E63" t="s">
        <v>307</v>
      </c>
      <c r="F63" t="s">
        <v>294</v>
      </c>
      <c r="G63" t="s">
        <v>255</v>
      </c>
      <c r="H63" t="s">
        <v>19</v>
      </c>
      <c r="I63" t="s">
        <v>20</v>
      </c>
      <c r="J63" t="s">
        <v>256</v>
      </c>
      <c r="K63" t="s">
        <v>22</v>
      </c>
      <c r="L63" t="s">
        <v>23</v>
      </c>
    </row>
    <row r="64" spans="1:12">
      <c r="A64" t="s">
        <v>308</v>
      </c>
      <c r="B64" t="s">
        <v>309</v>
      </c>
      <c r="C64" t="s">
        <v>310</v>
      </c>
      <c r="D64" t="s">
        <v>311</v>
      </c>
      <c r="E64" t="s">
        <v>310</v>
      </c>
      <c r="F64" t="s">
        <v>294</v>
      </c>
      <c r="G64" t="s">
        <v>255</v>
      </c>
      <c r="H64" t="s">
        <v>19</v>
      </c>
      <c r="I64" t="s">
        <v>20</v>
      </c>
      <c r="J64" t="s">
        <v>256</v>
      </c>
      <c r="K64" t="s">
        <v>22</v>
      </c>
      <c r="L64" t="s">
        <v>23</v>
      </c>
    </row>
    <row r="65" spans="1:12">
      <c r="A65" t="s">
        <v>312</v>
      </c>
      <c r="B65" t="s">
        <v>313</v>
      </c>
      <c r="C65" t="s">
        <v>314</v>
      </c>
      <c r="D65" t="s">
        <v>315</v>
      </c>
      <c r="E65" t="s">
        <v>316</v>
      </c>
      <c r="F65" t="s">
        <v>17</v>
      </c>
      <c r="G65" t="s">
        <v>317</v>
      </c>
      <c r="H65" t="s">
        <v>19</v>
      </c>
      <c r="I65" t="s">
        <v>20</v>
      </c>
      <c r="J65" t="s">
        <v>318</v>
      </c>
      <c r="K65" t="s">
        <v>22</v>
      </c>
      <c r="L65" t="s">
        <v>23</v>
      </c>
    </row>
    <row r="66" spans="1:12">
      <c r="A66" t="s">
        <v>319</v>
      </c>
      <c r="B66" t="s">
        <v>320</v>
      </c>
      <c r="C66" t="s">
        <v>321</v>
      </c>
      <c r="D66" t="s">
        <v>322</v>
      </c>
      <c r="E66" t="s">
        <v>323</v>
      </c>
      <c r="F66" t="s">
        <v>17</v>
      </c>
      <c r="G66" t="s">
        <v>317</v>
      </c>
      <c r="H66" t="s">
        <v>19</v>
      </c>
      <c r="I66" t="s">
        <v>20</v>
      </c>
      <c r="J66" t="s">
        <v>318</v>
      </c>
      <c r="K66" t="s">
        <v>22</v>
      </c>
      <c r="L66" t="s">
        <v>23</v>
      </c>
    </row>
    <row r="67" spans="1:12">
      <c r="A67" t="s">
        <v>324</v>
      </c>
      <c r="B67" t="s">
        <v>325</v>
      </c>
      <c r="C67" t="s">
        <v>326</v>
      </c>
      <c r="D67" t="s">
        <v>327</v>
      </c>
      <c r="E67" t="s">
        <v>316</v>
      </c>
      <c r="F67" t="s">
        <v>17</v>
      </c>
      <c r="G67" t="s">
        <v>317</v>
      </c>
      <c r="H67" t="s">
        <v>19</v>
      </c>
      <c r="I67" t="s">
        <v>20</v>
      </c>
      <c r="J67" t="s">
        <v>318</v>
      </c>
      <c r="K67" t="s">
        <v>22</v>
      </c>
      <c r="L67" t="s">
        <v>23</v>
      </c>
    </row>
    <row r="68" spans="1:12">
      <c r="A68" t="s">
        <v>328</v>
      </c>
      <c r="B68" t="s">
        <v>329</v>
      </c>
      <c r="C68" t="s">
        <v>330</v>
      </c>
      <c r="D68" t="s">
        <v>331</v>
      </c>
      <c r="E68" t="s">
        <v>316</v>
      </c>
      <c r="F68" t="s">
        <v>17</v>
      </c>
      <c r="G68" t="s">
        <v>317</v>
      </c>
      <c r="H68" t="s">
        <v>19</v>
      </c>
      <c r="I68" t="s">
        <v>20</v>
      </c>
      <c r="J68" t="s">
        <v>318</v>
      </c>
      <c r="K68" t="s">
        <v>22</v>
      </c>
      <c r="L68" t="s">
        <v>23</v>
      </c>
    </row>
    <row r="69" spans="1:12">
      <c r="A69" t="s">
        <v>332</v>
      </c>
      <c r="B69" t="s">
        <v>333</v>
      </c>
      <c r="C69" t="s">
        <v>334</v>
      </c>
      <c r="D69" t="s">
        <v>335</v>
      </c>
      <c r="E69" t="s">
        <v>316</v>
      </c>
      <c r="F69" t="s">
        <v>17</v>
      </c>
      <c r="G69" t="s">
        <v>317</v>
      </c>
      <c r="H69" t="s">
        <v>19</v>
      </c>
      <c r="I69" t="s">
        <v>20</v>
      </c>
      <c r="J69" t="s">
        <v>318</v>
      </c>
      <c r="K69" t="s">
        <v>22</v>
      </c>
      <c r="L69" t="s">
        <v>23</v>
      </c>
    </row>
    <row r="70" spans="1:12">
      <c r="A70" t="s">
        <v>336</v>
      </c>
      <c r="B70" t="s">
        <v>337</v>
      </c>
      <c r="C70" t="s">
        <v>338</v>
      </c>
      <c r="D70" t="s">
        <v>339</v>
      </c>
      <c r="E70" t="s">
        <v>316</v>
      </c>
      <c r="F70" t="s">
        <v>17</v>
      </c>
      <c r="G70" t="s">
        <v>317</v>
      </c>
      <c r="H70" t="s">
        <v>19</v>
      </c>
      <c r="I70" t="s">
        <v>20</v>
      </c>
      <c r="J70" t="s">
        <v>318</v>
      </c>
      <c r="K70" t="s">
        <v>22</v>
      </c>
      <c r="L70" t="s">
        <v>23</v>
      </c>
    </row>
    <row r="71" spans="1:12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317</v>
      </c>
      <c r="H71" t="s">
        <v>19</v>
      </c>
      <c r="I71" t="s">
        <v>20</v>
      </c>
      <c r="J71" t="s">
        <v>318</v>
      </c>
      <c r="K71" t="s">
        <v>22</v>
      </c>
      <c r="L71" t="s">
        <v>23</v>
      </c>
    </row>
    <row r="72" spans="1:12">
      <c r="A72" t="s">
        <v>344</v>
      </c>
      <c r="B72" t="s">
        <v>345</v>
      </c>
      <c r="C72" t="s">
        <v>346</v>
      </c>
      <c r="D72" t="s">
        <v>347</v>
      </c>
      <c r="E72" t="s">
        <v>316</v>
      </c>
      <c r="F72" t="s">
        <v>17</v>
      </c>
      <c r="G72" t="s">
        <v>317</v>
      </c>
      <c r="H72" t="s">
        <v>19</v>
      </c>
      <c r="I72" t="s">
        <v>20</v>
      </c>
      <c r="J72" t="s">
        <v>318</v>
      </c>
      <c r="K72" t="s">
        <v>22</v>
      </c>
      <c r="L72" t="s">
        <v>23</v>
      </c>
    </row>
    <row r="73" spans="1:12">
      <c r="A73" t="s">
        <v>348</v>
      </c>
      <c r="B73" t="s">
        <v>349</v>
      </c>
      <c r="C73" t="s">
        <v>350</v>
      </c>
      <c r="D73" t="s">
        <v>351</v>
      </c>
      <c r="E73" t="s">
        <v>342</v>
      </c>
      <c r="F73" t="s">
        <v>17</v>
      </c>
      <c r="G73" t="s">
        <v>317</v>
      </c>
      <c r="H73" t="s">
        <v>19</v>
      </c>
      <c r="I73" t="s">
        <v>20</v>
      </c>
      <c r="J73" t="s">
        <v>318</v>
      </c>
      <c r="K73" t="s">
        <v>22</v>
      </c>
      <c r="L73" t="s">
        <v>23</v>
      </c>
    </row>
    <row r="74" spans="1:12">
      <c r="A74" t="s">
        <v>352</v>
      </c>
      <c r="B74" t="s">
        <v>353</v>
      </c>
      <c r="C74" t="s">
        <v>354</v>
      </c>
      <c r="D74" t="s">
        <v>355</v>
      </c>
      <c r="E74" t="s">
        <v>354</v>
      </c>
      <c r="F74" t="s">
        <v>17</v>
      </c>
      <c r="G74" t="s">
        <v>317</v>
      </c>
      <c r="H74" t="s">
        <v>19</v>
      </c>
      <c r="I74" t="s">
        <v>20</v>
      </c>
      <c r="J74" t="s">
        <v>318</v>
      </c>
      <c r="K74" t="s">
        <v>22</v>
      </c>
      <c r="L74" t="s">
        <v>23</v>
      </c>
    </row>
    <row r="75" spans="1:12">
      <c r="A75" t="s">
        <v>356</v>
      </c>
      <c r="B75" t="s">
        <v>357</v>
      </c>
      <c r="C75" t="s">
        <v>358</v>
      </c>
      <c r="D75" t="s">
        <v>359</v>
      </c>
      <c r="E75" t="s">
        <v>358</v>
      </c>
      <c r="F75" t="s">
        <v>17</v>
      </c>
      <c r="G75" t="s">
        <v>360</v>
      </c>
      <c r="H75" t="s">
        <v>19</v>
      </c>
      <c r="I75" t="s">
        <v>20</v>
      </c>
      <c r="J75" t="s">
        <v>361</v>
      </c>
      <c r="K75" t="s">
        <v>22</v>
      </c>
      <c r="L75" t="s">
        <v>23</v>
      </c>
    </row>
    <row r="76" spans="1:12">
      <c r="A76" t="s">
        <v>362</v>
      </c>
      <c r="B76" t="s">
        <v>363</v>
      </c>
      <c r="C76" t="s">
        <v>364</v>
      </c>
      <c r="D76" t="s">
        <v>365</v>
      </c>
      <c r="E76" t="s">
        <v>366</v>
      </c>
      <c r="F76" t="s">
        <v>17</v>
      </c>
      <c r="G76" t="s">
        <v>360</v>
      </c>
      <c r="H76" t="s">
        <v>19</v>
      </c>
      <c r="I76" t="s">
        <v>20</v>
      </c>
      <c r="J76" t="s">
        <v>361</v>
      </c>
      <c r="K76" t="s">
        <v>22</v>
      </c>
      <c r="L76" t="s">
        <v>23</v>
      </c>
    </row>
    <row r="77" spans="1:12">
      <c r="A77" t="s">
        <v>367</v>
      </c>
      <c r="B77" t="s">
        <v>368</v>
      </c>
      <c r="C77" t="s">
        <v>369</v>
      </c>
      <c r="D77" t="s">
        <v>370</v>
      </c>
      <c r="E77" t="s">
        <v>369</v>
      </c>
      <c r="F77" t="s">
        <v>17</v>
      </c>
      <c r="G77" t="s">
        <v>360</v>
      </c>
      <c r="H77" t="s">
        <v>19</v>
      </c>
      <c r="I77" t="s">
        <v>20</v>
      </c>
      <c r="J77" t="s">
        <v>361</v>
      </c>
      <c r="K77" t="s">
        <v>22</v>
      </c>
      <c r="L77" t="s">
        <v>23</v>
      </c>
    </row>
    <row r="78" spans="1:12">
      <c r="A78" t="s">
        <v>371</v>
      </c>
      <c r="B78" t="s">
        <v>372</v>
      </c>
      <c r="C78" t="s">
        <v>373</v>
      </c>
      <c r="D78" t="s">
        <v>374</v>
      </c>
      <c r="E78" t="s">
        <v>316</v>
      </c>
      <c r="F78" t="s">
        <v>17</v>
      </c>
      <c r="G78" t="s">
        <v>360</v>
      </c>
      <c r="H78" t="s">
        <v>19</v>
      </c>
      <c r="I78" t="s">
        <v>20</v>
      </c>
      <c r="J78" t="s">
        <v>361</v>
      </c>
      <c r="K78" t="s">
        <v>22</v>
      </c>
      <c r="L78" t="s">
        <v>23</v>
      </c>
    </row>
    <row r="79" spans="1:12">
      <c r="A79" t="s">
        <v>375</v>
      </c>
      <c r="B79" t="s">
        <v>376</v>
      </c>
      <c r="C79" t="s">
        <v>377</v>
      </c>
      <c r="D79" t="s">
        <v>378</v>
      </c>
      <c r="E79" t="s">
        <v>379</v>
      </c>
      <c r="F79" t="s">
        <v>17</v>
      </c>
      <c r="G79" t="s">
        <v>360</v>
      </c>
      <c r="H79" t="s">
        <v>19</v>
      </c>
      <c r="I79" t="s">
        <v>20</v>
      </c>
      <c r="J79" t="s">
        <v>361</v>
      </c>
      <c r="K79" t="s">
        <v>22</v>
      </c>
      <c r="L79" t="s">
        <v>23</v>
      </c>
    </row>
    <row r="80" spans="1:12">
      <c r="A80" t="s">
        <v>380</v>
      </c>
      <c r="B80" t="s">
        <v>381</v>
      </c>
      <c r="C80" t="s">
        <v>382</v>
      </c>
      <c r="D80" t="s">
        <v>383</v>
      </c>
      <c r="E80" t="s">
        <v>382</v>
      </c>
      <c r="F80" t="s">
        <v>17</v>
      </c>
      <c r="G80" t="s">
        <v>360</v>
      </c>
      <c r="H80" t="s">
        <v>19</v>
      </c>
      <c r="I80" t="s">
        <v>20</v>
      </c>
      <c r="J80" t="s">
        <v>361</v>
      </c>
      <c r="K80" t="s">
        <v>22</v>
      </c>
      <c r="L80" t="s">
        <v>23</v>
      </c>
    </row>
    <row r="81" spans="1:12">
      <c r="A81" t="s">
        <v>384</v>
      </c>
      <c r="B81" t="s">
        <v>385</v>
      </c>
      <c r="C81" t="s">
        <v>386</v>
      </c>
      <c r="D81" t="s">
        <v>387</v>
      </c>
      <c r="E81" t="s">
        <v>386</v>
      </c>
      <c r="F81" t="s">
        <v>17</v>
      </c>
      <c r="G81" t="s">
        <v>360</v>
      </c>
      <c r="H81" t="s">
        <v>19</v>
      </c>
      <c r="I81" t="s">
        <v>20</v>
      </c>
      <c r="J81" t="s">
        <v>361</v>
      </c>
      <c r="K81" t="s">
        <v>22</v>
      </c>
      <c r="L81" t="s">
        <v>23</v>
      </c>
    </row>
    <row r="82" spans="1:12">
      <c r="A82" t="s">
        <v>388</v>
      </c>
      <c r="B82" t="s">
        <v>389</v>
      </c>
      <c r="C82" t="s">
        <v>390</v>
      </c>
      <c r="D82" t="s">
        <v>391</v>
      </c>
      <c r="E82" t="s">
        <v>316</v>
      </c>
      <c r="F82" t="s">
        <v>17</v>
      </c>
      <c r="G82" t="s">
        <v>360</v>
      </c>
      <c r="H82" t="s">
        <v>19</v>
      </c>
      <c r="I82" t="s">
        <v>20</v>
      </c>
      <c r="J82" t="s">
        <v>361</v>
      </c>
      <c r="K82" t="s">
        <v>22</v>
      </c>
      <c r="L82" t="s">
        <v>23</v>
      </c>
    </row>
    <row r="83" spans="1:12">
      <c r="A83" t="s">
        <v>392</v>
      </c>
      <c r="B83" t="s">
        <v>393</v>
      </c>
      <c r="C83" t="s">
        <v>394</v>
      </c>
      <c r="D83" t="s">
        <v>395</v>
      </c>
      <c r="E83" t="s">
        <v>394</v>
      </c>
      <c r="F83" t="s">
        <v>17</v>
      </c>
      <c r="G83" t="s">
        <v>396</v>
      </c>
      <c r="H83" t="s">
        <v>19</v>
      </c>
      <c r="I83" t="s">
        <v>20</v>
      </c>
      <c r="J83" t="s">
        <v>397</v>
      </c>
      <c r="K83" t="s">
        <v>22</v>
      </c>
      <c r="L83" t="s">
        <v>23</v>
      </c>
    </row>
    <row r="84" spans="1:12">
      <c r="A84" t="s">
        <v>398</v>
      </c>
      <c r="B84" t="s">
        <v>399</v>
      </c>
      <c r="C84" t="s">
        <v>400</v>
      </c>
      <c r="D84" t="s">
        <v>401</v>
      </c>
      <c r="E84" t="s">
        <v>400</v>
      </c>
      <c r="F84" t="s">
        <v>17</v>
      </c>
      <c r="G84" t="s">
        <v>396</v>
      </c>
      <c r="H84" t="s">
        <v>19</v>
      </c>
      <c r="I84" t="s">
        <v>20</v>
      </c>
      <c r="J84" t="s">
        <v>397</v>
      </c>
      <c r="K84" t="s">
        <v>22</v>
      </c>
      <c r="L84" t="s">
        <v>23</v>
      </c>
    </row>
    <row r="85" spans="1:12">
      <c r="A85" t="s">
        <v>402</v>
      </c>
      <c r="B85" t="s">
        <v>403</v>
      </c>
      <c r="C85" t="s">
        <v>404</v>
      </c>
      <c r="D85" t="s">
        <v>405</v>
      </c>
      <c r="E85" t="s">
        <v>406</v>
      </c>
      <c r="F85" t="s">
        <v>17</v>
      </c>
      <c r="G85" t="s">
        <v>396</v>
      </c>
      <c r="H85" t="s">
        <v>19</v>
      </c>
      <c r="I85" t="s">
        <v>20</v>
      </c>
      <c r="J85" t="s">
        <v>397</v>
      </c>
      <c r="K85" t="s">
        <v>22</v>
      </c>
      <c r="L85" t="s">
        <v>23</v>
      </c>
    </row>
    <row r="86" spans="1:12">
      <c r="A86" t="s">
        <v>407</v>
      </c>
      <c r="B86" t="s">
        <v>408</v>
      </c>
      <c r="C86" t="s">
        <v>409</v>
      </c>
      <c r="D86" t="s">
        <v>410</v>
      </c>
      <c r="E86" t="s">
        <v>409</v>
      </c>
      <c r="F86" t="s">
        <v>17</v>
      </c>
      <c r="G86" t="s">
        <v>396</v>
      </c>
      <c r="H86" t="s">
        <v>19</v>
      </c>
      <c r="I86" t="s">
        <v>20</v>
      </c>
      <c r="J86" t="s">
        <v>397</v>
      </c>
      <c r="K86" t="s">
        <v>22</v>
      </c>
      <c r="L86" t="s">
        <v>23</v>
      </c>
    </row>
    <row r="87" spans="1:12">
      <c r="A87" t="s">
        <v>411</v>
      </c>
      <c r="B87" t="s">
        <v>412</v>
      </c>
      <c r="C87" t="s">
        <v>413</v>
      </c>
      <c r="D87" t="s">
        <v>414</v>
      </c>
      <c r="E87" t="s">
        <v>413</v>
      </c>
      <c r="F87" t="s">
        <v>17</v>
      </c>
      <c r="G87" t="s">
        <v>396</v>
      </c>
      <c r="H87" t="s">
        <v>19</v>
      </c>
      <c r="I87" t="s">
        <v>20</v>
      </c>
      <c r="J87" t="s">
        <v>397</v>
      </c>
      <c r="K87" t="s">
        <v>22</v>
      </c>
      <c r="L87" t="s">
        <v>23</v>
      </c>
    </row>
    <row r="88" spans="1:12">
      <c r="A88" t="s">
        <v>415</v>
      </c>
      <c r="B88" t="s">
        <v>416</v>
      </c>
      <c r="C88" t="s">
        <v>417</v>
      </c>
      <c r="D88" t="s">
        <v>418</v>
      </c>
      <c r="E88" t="s">
        <v>419</v>
      </c>
      <c r="F88" t="s">
        <v>17</v>
      </c>
      <c r="G88" t="s">
        <v>396</v>
      </c>
      <c r="H88" t="s">
        <v>19</v>
      </c>
      <c r="I88" t="s">
        <v>20</v>
      </c>
      <c r="J88" t="s">
        <v>397</v>
      </c>
      <c r="K88" t="s">
        <v>22</v>
      </c>
      <c r="L88" t="s">
        <v>23</v>
      </c>
    </row>
    <row r="89" spans="1:12">
      <c r="A89" t="s">
        <v>420</v>
      </c>
      <c r="B89" t="s">
        <v>421</v>
      </c>
      <c r="C89" t="s">
        <v>422</v>
      </c>
      <c r="D89" t="s">
        <v>423</v>
      </c>
      <c r="E89" t="s">
        <v>424</v>
      </c>
      <c r="F89" t="s">
        <v>17</v>
      </c>
      <c r="G89" t="s">
        <v>396</v>
      </c>
      <c r="H89" t="s">
        <v>19</v>
      </c>
      <c r="I89" t="s">
        <v>20</v>
      </c>
      <c r="J89" t="s">
        <v>397</v>
      </c>
      <c r="K89" t="s">
        <v>22</v>
      </c>
      <c r="L89" t="s">
        <v>23</v>
      </c>
    </row>
    <row r="90" spans="1:12">
      <c r="A90" t="s">
        <v>425</v>
      </c>
      <c r="B90" t="s">
        <v>426</v>
      </c>
      <c r="C90" t="s">
        <v>427</v>
      </c>
      <c r="D90" t="s">
        <v>428</v>
      </c>
      <c r="E90" t="s">
        <v>427</v>
      </c>
      <c r="F90" t="s">
        <v>17</v>
      </c>
      <c r="G90" t="s">
        <v>396</v>
      </c>
      <c r="H90" t="s">
        <v>19</v>
      </c>
      <c r="I90" t="s">
        <v>20</v>
      </c>
      <c r="J90" t="s">
        <v>397</v>
      </c>
      <c r="K90" t="s">
        <v>22</v>
      </c>
      <c r="L90" t="s">
        <v>23</v>
      </c>
    </row>
    <row r="91" spans="1:12">
      <c r="A91" t="s">
        <v>429</v>
      </c>
      <c r="B91" t="s">
        <v>430</v>
      </c>
      <c r="C91" t="s">
        <v>431</v>
      </c>
      <c r="D91" t="s">
        <v>432</v>
      </c>
      <c r="E91" t="s">
        <v>431</v>
      </c>
      <c r="F91" t="s">
        <v>17</v>
      </c>
      <c r="G91" t="s">
        <v>396</v>
      </c>
      <c r="H91" t="s">
        <v>19</v>
      </c>
      <c r="I91" t="s">
        <v>20</v>
      </c>
      <c r="J91" t="s">
        <v>397</v>
      </c>
      <c r="K91" t="s">
        <v>22</v>
      </c>
      <c r="L91" t="s">
        <v>23</v>
      </c>
    </row>
    <row r="92" spans="1:12">
      <c r="A92" t="s">
        <v>433</v>
      </c>
      <c r="B92" t="s">
        <v>434</v>
      </c>
      <c r="C92" t="s">
        <v>435</v>
      </c>
      <c r="D92" t="s">
        <v>436</v>
      </c>
      <c r="E92" t="s">
        <v>435</v>
      </c>
      <c r="F92" t="s">
        <v>437</v>
      </c>
      <c r="G92" t="s">
        <v>438</v>
      </c>
      <c r="H92" t="s">
        <v>19</v>
      </c>
      <c r="I92" t="s">
        <v>20</v>
      </c>
      <c r="J92" t="s">
        <v>439</v>
      </c>
      <c r="K92" t="s">
        <v>22</v>
      </c>
      <c r="L92" t="s">
        <v>23</v>
      </c>
    </row>
    <row r="93" spans="1:12">
      <c r="A93" t="s">
        <v>440</v>
      </c>
      <c r="B93" t="s">
        <v>441</v>
      </c>
      <c r="C93" t="s">
        <v>442</v>
      </c>
      <c r="D93" t="s">
        <v>443</v>
      </c>
      <c r="E93" t="s">
        <v>442</v>
      </c>
      <c r="F93" t="s">
        <v>17</v>
      </c>
      <c r="G93" t="s">
        <v>438</v>
      </c>
      <c r="H93" t="s">
        <v>19</v>
      </c>
      <c r="I93" t="s">
        <v>20</v>
      </c>
      <c r="J93" t="s">
        <v>439</v>
      </c>
      <c r="K93" t="s">
        <v>22</v>
      </c>
      <c r="L93" t="s">
        <v>23</v>
      </c>
    </row>
    <row r="94" spans="1:12">
      <c r="A94" t="s">
        <v>444</v>
      </c>
      <c r="B94" t="s">
        <v>445</v>
      </c>
      <c r="C94" t="s">
        <v>446</v>
      </c>
      <c r="D94" t="s">
        <v>447</v>
      </c>
      <c r="E94" t="s">
        <v>448</v>
      </c>
      <c r="F94" t="s">
        <v>17</v>
      </c>
      <c r="G94" t="s">
        <v>438</v>
      </c>
      <c r="H94" t="s">
        <v>19</v>
      </c>
      <c r="I94" t="s">
        <v>20</v>
      </c>
      <c r="J94" t="s">
        <v>439</v>
      </c>
      <c r="K94" t="s">
        <v>22</v>
      </c>
      <c r="L94" t="s">
        <v>23</v>
      </c>
    </row>
    <row r="95" spans="1:12">
      <c r="A95" t="s">
        <v>449</v>
      </c>
      <c r="B95" t="s">
        <v>450</v>
      </c>
      <c r="C95" t="s">
        <v>451</v>
      </c>
      <c r="D95" t="s">
        <v>452</v>
      </c>
      <c r="E95" t="s">
        <v>451</v>
      </c>
      <c r="F95" t="s">
        <v>17</v>
      </c>
      <c r="G95" t="s">
        <v>438</v>
      </c>
      <c r="H95" t="s">
        <v>19</v>
      </c>
      <c r="I95" t="s">
        <v>20</v>
      </c>
      <c r="J95" t="s">
        <v>439</v>
      </c>
      <c r="K95" t="s">
        <v>22</v>
      </c>
      <c r="L95" t="s">
        <v>23</v>
      </c>
    </row>
    <row r="96" spans="1:12">
      <c r="A96" t="s">
        <v>453</v>
      </c>
      <c r="B96" t="s">
        <v>454</v>
      </c>
      <c r="C96" t="s">
        <v>455</v>
      </c>
      <c r="D96" t="s">
        <v>456</v>
      </c>
      <c r="E96" t="s">
        <v>442</v>
      </c>
      <c r="F96" t="s">
        <v>17</v>
      </c>
      <c r="G96" t="s">
        <v>438</v>
      </c>
      <c r="H96" t="s">
        <v>19</v>
      </c>
      <c r="I96" t="s">
        <v>20</v>
      </c>
      <c r="J96" t="s">
        <v>439</v>
      </c>
      <c r="K96" t="s">
        <v>22</v>
      </c>
      <c r="L96" t="s">
        <v>23</v>
      </c>
    </row>
    <row r="97" spans="1:12">
      <c r="A97" t="s">
        <v>457</v>
      </c>
      <c r="B97" t="s">
        <v>458</v>
      </c>
      <c r="C97" t="s">
        <v>459</v>
      </c>
      <c r="D97" t="s">
        <v>460</v>
      </c>
      <c r="E97" t="s">
        <v>461</v>
      </c>
      <c r="F97" t="s">
        <v>17</v>
      </c>
      <c r="G97" t="s">
        <v>438</v>
      </c>
      <c r="H97" t="s">
        <v>19</v>
      </c>
      <c r="I97" t="s">
        <v>20</v>
      </c>
      <c r="J97" t="s">
        <v>439</v>
      </c>
      <c r="K97" t="s">
        <v>22</v>
      </c>
      <c r="L97" t="s">
        <v>23</v>
      </c>
    </row>
    <row r="98" spans="1:12">
      <c r="A98" t="s">
        <v>462</v>
      </c>
      <c r="B98" t="s">
        <v>463</v>
      </c>
      <c r="C98" t="s">
        <v>464</v>
      </c>
      <c r="D98" t="s">
        <v>465</v>
      </c>
      <c r="E98" t="s">
        <v>464</v>
      </c>
      <c r="F98" t="s">
        <v>17</v>
      </c>
      <c r="G98" t="s">
        <v>438</v>
      </c>
      <c r="H98" t="s">
        <v>19</v>
      </c>
      <c r="I98" t="s">
        <v>20</v>
      </c>
      <c r="J98" t="s">
        <v>439</v>
      </c>
      <c r="K98" t="s">
        <v>22</v>
      </c>
      <c r="L98" t="s">
        <v>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A2" sqref="A2"/>
    </sheetView>
  </sheetViews>
  <sheetFormatPr baseColWidth="10" defaultRowHeight="16"/>
  <sheetData>
    <row r="1" spans="1:1">
      <c r="A1" s="7">
        <v>46259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2026-08-28T20:47:00Z</dcterms:modified>
</cp:coreProperties>
</file>
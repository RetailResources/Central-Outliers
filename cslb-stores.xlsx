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https://netorg546715-my.sharepoint.com/personal/kevin_starke_connectivitysource_net/Documents/ADM/Reports/"/>
    </mc:Choice>
  </mc:AlternateContent>
  <xr:revisionPtr revIDLastSave="0" documentId="8_{83234DD6-892C-8B45-ADED-CD5BC78F7065}" xr6:coauthVersionLast="47" xr6:coauthVersionMax="47" xr10:uidLastSave="{00000000-0000-0000-0000-000000000000}"/>
  <bookViews>
    <workbookView xWindow="0" yWindow="640" windowWidth="34560" windowHeight="20000" xr2:uid="{45D12FAA-C494-9142-89A7-9A6A2808EC1C}"/>
  </bookViews>
  <sheets>
    <sheet name="Store" sheetId="4" r:id="rId1"/>
    <sheet name="Location List" sheetId="1" r:id="rId2"/>
    <sheet name="Date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4" i="4" l="1"/>
  <c r="A94" i="4" s="1"/>
  <c r="B93" i="4"/>
  <c r="A93" i="4" s="1"/>
  <c r="B92" i="4"/>
  <c r="A92" i="4" s="1"/>
  <c r="B91" i="4"/>
  <c r="A91" i="4" s="1"/>
  <c r="B90" i="4"/>
  <c r="A90" i="4" s="1"/>
  <c r="B89" i="4"/>
  <c r="A89" i="4" s="1"/>
  <c r="B88" i="4"/>
  <c r="A88" i="4" s="1"/>
  <c r="B87" i="4"/>
  <c r="A87" i="4" s="1"/>
  <c r="B86" i="4"/>
  <c r="A86" i="4" s="1"/>
  <c r="B85" i="4"/>
  <c r="A85" i="4" s="1"/>
  <c r="B84" i="4"/>
  <c r="A84" i="4" s="1"/>
  <c r="B83" i="4"/>
  <c r="A83" i="4" s="1"/>
  <c r="B82" i="4"/>
  <c r="A82" i="4" s="1"/>
  <c r="B81" i="4"/>
  <c r="A81" i="4" s="1"/>
  <c r="B80" i="4"/>
  <c r="A80" i="4" s="1"/>
  <c r="B79" i="4"/>
  <c r="A79" i="4" s="1"/>
  <c r="B78" i="4"/>
  <c r="A78" i="4" s="1"/>
  <c r="B77" i="4"/>
  <c r="A77" i="4" s="1"/>
  <c r="B76" i="4"/>
  <c r="A76" i="4" s="1"/>
  <c r="B75" i="4"/>
  <c r="A75" i="4" s="1"/>
  <c r="B74" i="4"/>
  <c r="A74" i="4" s="1"/>
  <c r="B73" i="4"/>
  <c r="A73" i="4" s="1"/>
  <c r="B72" i="4"/>
  <c r="A72" i="4" s="1"/>
  <c r="B71" i="4"/>
  <c r="A71" i="4" s="1"/>
  <c r="B70" i="4"/>
  <c r="A70" i="4" s="1"/>
  <c r="B69" i="4"/>
  <c r="A69" i="4" s="1"/>
  <c r="B68" i="4"/>
  <c r="A68" i="4" s="1"/>
  <c r="B67" i="4"/>
  <c r="A67" i="4" s="1"/>
  <c r="B66" i="4"/>
  <c r="A66" i="4" s="1"/>
  <c r="B65" i="4"/>
  <c r="A65" i="4" s="1"/>
  <c r="B64" i="4"/>
  <c r="A64" i="4" s="1"/>
  <c r="B63" i="4"/>
  <c r="A63" i="4" s="1"/>
  <c r="B62" i="4"/>
  <c r="A62" i="4" s="1"/>
  <c r="B61" i="4"/>
  <c r="A61" i="4" s="1"/>
  <c r="B60" i="4"/>
  <c r="A60" i="4" s="1"/>
  <c r="B59" i="4"/>
  <c r="A59" i="4" s="1"/>
  <c r="B58" i="4"/>
  <c r="A58" i="4" s="1"/>
  <c r="B57" i="4"/>
  <c r="A57" i="4" s="1"/>
  <c r="B56" i="4"/>
  <c r="A56" i="4" s="1"/>
  <c r="B55" i="4"/>
  <c r="A55" i="4" s="1"/>
  <c r="B54" i="4"/>
  <c r="A54" i="4" s="1"/>
  <c r="B53" i="4"/>
  <c r="A53" i="4" s="1"/>
  <c r="B52" i="4"/>
  <c r="A52" i="4" s="1"/>
  <c r="B51" i="4"/>
  <c r="A51" i="4" s="1"/>
  <c r="B50" i="4"/>
  <c r="A50" i="4" s="1"/>
  <c r="B49" i="4"/>
  <c r="A49" i="4" s="1"/>
  <c r="B48" i="4"/>
  <c r="A48" i="4" s="1"/>
  <c r="B47" i="4"/>
  <c r="A47" i="4" s="1"/>
  <c r="B46" i="4"/>
  <c r="A46" i="4" s="1"/>
  <c r="B45" i="4"/>
  <c r="A45" i="4" s="1"/>
  <c r="B44" i="4"/>
  <c r="A44" i="4" s="1"/>
  <c r="B43" i="4"/>
  <c r="A43" i="4" s="1"/>
  <c r="B42" i="4"/>
  <c r="A42" i="4" s="1"/>
  <c r="B41" i="4"/>
  <c r="A41" i="4" s="1"/>
  <c r="B40" i="4"/>
  <c r="A40" i="4" s="1"/>
  <c r="B39" i="4"/>
  <c r="A39" i="4" s="1"/>
  <c r="B38" i="4"/>
  <c r="A38" i="4" s="1"/>
  <c r="B37" i="4"/>
  <c r="A37" i="4" s="1"/>
  <c r="B36" i="4"/>
  <c r="A36" i="4" s="1"/>
  <c r="B35" i="4"/>
  <c r="A35" i="4" s="1"/>
  <c r="B34" i="4"/>
  <c r="A34" i="4" s="1"/>
  <c r="B33" i="4"/>
  <c r="A33" i="4" s="1"/>
  <c r="B32" i="4"/>
  <c r="A32" i="4" s="1"/>
  <c r="B31" i="4"/>
  <c r="A31" i="4" s="1"/>
  <c r="B30" i="4"/>
  <c r="A30" i="4" s="1"/>
  <c r="B29" i="4"/>
  <c r="A29" i="4" s="1"/>
  <c r="B28" i="4"/>
  <c r="A28" i="4" s="1"/>
  <c r="B27" i="4"/>
  <c r="A27" i="4" s="1"/>
  <c r="B26" i="4"/>
  <c r="A26" i="4" s="1"/>
  <c r="B25" i="4"/>
  <c r="A25" i="4" s="1"/>
  <c r="B24" i="4"/>
  <c r="A24" i="4" s="1"/>
  <c r="B23" i="4"/>
  <c r="A23" i="4" s="1"/>
  <c r="B22" i="4"/>
  <c r="A22" i="4" s="1"/>
  <c r="B21" i="4"/>
  <c r="A21" i="4" s="1"/>
  <c r="B20" i="4"/>
  <c r="A20" i="4" s="1"/>
  <c r="B19" i="4"/>
  <c r="A19" i="4" s="1"/>
  <c r="B18" i="4"/>
  <c r="A18" i="4" s="1"/>
  <c r="B17" i="4"/>
  <c r="A17" i="4" s="1"/>
  <c r="B16" i="4"/>
  <c r="A16" i="4" s="1"/>
  <c r="B15" i="4"/>
  <c r="A15" i="4" s="1"/>
  <c r="B14" i="4"/>
  <c r="A14" i="4" s="1"/>
  <c r="B13" i="4"/>
  <c r="A13" i="4" s="1"/>
  <c r="B12" i="4"/>
  <c r="A12" i="4" s="1"/>
  <c r="B11" i="4"/>
  <c r="A11" i="4" s="1"/>
  <c r="B10" i="4"/>
  <c r="A10" i="4" s="1"/>
  <c r="B9" i="4"/>
  <c r="A9" i="4" s="1"/>
  <c r="B8" i="4"/>
  <c r="A8" i="4" s="1"/>
  <c r="B7" i="4"/>
  <c r="A7" i="4" s="1"/>
  <c r="B6" i="4"/>
  <c r="A6" i="4" s="1"/>
  <c r="B5" i="4"/>
  <c r="A5" i="4" s="1"/>
  <c r="B4" i="4"/>
  <c r="A4" i="4" s="1"/>
  <c r="B3" i="4"/>
  <c r="A3" i="4" s="1"/>
  <c r="B2" i="4"/>
  <c r="A2" i="4" s="1"/>
</calcChain>
</file>

<file path=xl/sharedStrings.xml><?xml version="1.0" encoding="utf-8"?>
<sst xmlns="http://schemas.openxmlformats.org/spreadsheetml/2006/main" count="1497" uniqueCount="602">
  <si>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</si>
  <si>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</si>
  <si>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</si>
  <si>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</si>
  <si>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</si>
  <si>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</si>
  <si>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</si>
  <si>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</si>
  <si>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</si>
  <si>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</si>
  <si>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</si>
  <si>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</si>
  <si>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</si>
  <si>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</si>
  <si>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</si>
  <si>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</si>
  <si>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</si>
  <si>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</si>
  <si>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</si>
  <si>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</si>
  <si>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</si>
  <si>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</si>
  <si>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</si>
  <si>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</si>
  <si>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</si>
  <si>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</si>
  <si>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</si>
  <si>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</si>
  <si>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</si>
  <si>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</si>
  <si>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</si>
  <si>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</si>
  <si>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</si>
  <si>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</si>
  <si>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</si>
  <si>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</si>
  <si>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</si>
  <si>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</si>
  <si>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</si>
  <si>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</si>
  <si>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</si>
  <si>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</si>
  <si>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</si>
  <si>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</si>
  <si>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</si>
  <si>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</si>
  <si>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</si>
  <si>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</si>
  <si>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</si>
  <si>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</si>
  <si>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</si>
  <si>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</si>
  <si>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</si>
  <si>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</si>
  <si>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</si>
  <si>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</si>
  <si>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</si>
  <si>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</si>
  <si>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</si>
  <si>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</si>
  <si>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</si>
  <si>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</si>
  <si>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</si>
  <si>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</si>
  <si>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</si>
  <si>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</si>
  <si>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</si>
  <si>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</si>
  <si>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</si>
  <si>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</si>
  <si>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</si>
  <si>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</si>
  <si>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</si>
  <si>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</si>
  <si>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</si>
  <si>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</si>
  <si>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</si>
  <si>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</si>
  <si>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</si>
  <si>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</si>
  <si>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</si>
  <si>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</si>
  <si>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</si>
  <si>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</si>
  <si>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</si>
  <si>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</si>
  <si>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</si>
  <si>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</si>
  <si>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</si>
  <si>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</si>
  <si>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</si>
  <si>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</si>
  <si>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</si>
  <si>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</si>
  <si>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</si>
  <si>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</si>
  <si>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</si>
  <si>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</si>
  <si>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</si>
  <si>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</si>
  <si>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</si>
  <si>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</si>
  <si>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</si>
  <si>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</si>
  <si>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</si>
  <si>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</si>
  <si>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</si>
  <si>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</si>
  <si>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</si>
  <si>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</si>
  <si>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</si>
  <si>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</si>
  <si>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</si>
  <si>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</si>
  <si>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</si>
  <si>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</si>
  <si>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</si>
  <si>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</si>
  <si>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</si>
  <si>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</si>
  <si>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</si>
  <si>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</si>
  <si>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</si>
  <si>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</si>
  <si>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</si>
  <si>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</si>
  <si>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</si>
  <si>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</si>
  <si>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</si>
  <si>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</si>
  <si>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</si>
  <si>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</si>
  <si>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</si>
  <si>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</si>
  <si>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</si>
  <si>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</si>
  <si>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</si>
  <si>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</si>
  <si>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</si>
  <si>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</si>
  <si>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</si>
  <si>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</si>
  <si>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</si>
  <si>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</si>
  <si>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</si>
  <si>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</si>
  <si>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</si>
  <si>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</si>
  <si>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</si>
  <si>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</si>
  <si>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</si>
  <si>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</si>
  <si>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</si>
  <si>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</si>
  <si>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</si>
  <si>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</si>
  <si>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</si>
  <si>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</si>
  <si>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</si>
  <si>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</si>
  <si>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</si>
  <si>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</si>
  <si>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</si>
  <si>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</si>
  <si>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</si>
  <si>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</si>
  <si>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</si>
  <si>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</si>
  <si>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</si>
  <si>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</si>
  <si>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</si>
  <si>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</si>
  <si>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</si>
  <si>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</si>
  <si>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</si>
  <si>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2993 : Clifford &amp; Western Trade</t>
  </si>
  <si>
    <t>2993</t>
  </si>
  <si>
    <t>Clifford</t>
  </si>
  <si>
    <t>9400 Clifford Street, Suite 100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</si>
  <si>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</si>
  <si>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</si>
  <si>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</si>
  <si>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</si>
  <si>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</si>
  <si>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</si>
  <si>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</si>
  <si>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</si>
  <si>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</si>
  <si>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</si>
  <si>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</si>
  <si>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5742 : Riverside Pkwy &amp; Creek Tpke</t>
  </si>
  <si>
    <t>5742</t>
  </si>
  <si>
    <t>Riverside Pkwy</t>
  </si>
  <si>
    <t>9910 Riverside Pkwy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</si>
  <si>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</si>
  <si>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</si>
  <si>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</si>
  <si>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</si>
  <si>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</si>
  <si>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</si>
  <si>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</si>
  <si>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</si>
  <si>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</si>
  <si>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</si>
  <si>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</si>
  <si>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</si>
  <si>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</si>
  <si>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</si>
  <si>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</si>
  <si>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</si>
  <si>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</si>
  <si>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</si>
  <si>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</si>
  <si>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</si>
  <si>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</si>
  <si>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</si>
  <si>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</si>
  <si>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</si>
  <si>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</si>
  <si>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</si>
  <si>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</si>
  <si>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</si>
  <si>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</si>
  <si>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</si>
  <si>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</si>
  <si>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</si>
  <si>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</si>
  <si>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</si>
  <si>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</si>
  <si>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</si>
  <si>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</si>
  <si>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</si>
  <si>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</si>
  <si>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</si>
  <si>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</si>
  <si>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</si>
  <si>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</si>
  <si>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</si>
  <si>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</si>
  <si>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</si>
  <si>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</si>
  <si>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</si>
  <si>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</si>
  <si>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</si>
  <si>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</si>
  <si>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</si>
  <si>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</si>
  <si>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</si>
  <si>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</si>
  <si>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</si>
  <si>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</si>
  <si>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</si>
  <si>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</si>
  <si>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</si>
  <si>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</si>
  <si>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</si>
  <si>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</si>
  <si>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</si>
  <si>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</si>
  <si>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</si>
  <si>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</si>
  <si>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</si>
  <si>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</si>
  <si>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</si>
  <si>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</si>
  <si>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</si>
  <si>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</si>
  <si>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</si>
  <si>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</si>
  <si>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</si>
  <si>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</si>
  <si>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</si>
  <si>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</si>
  <si>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</si>
  <si>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</si>
  <si>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</si>
  <si>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</si>
  <si>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</si>
  <si>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</si>
  <si>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</si>
  <si>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</si>
  <si>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3ISH : 8th St SW &amp; 34th Ave SW</t>
  </si>
  <si>
    <t>3ISH</t>
  </si>
  <si>
    <t>Altoona</t>
  </si>
  <si>
    <t>3345 8th St SW, Suite B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</si>
  <si>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</si>
  <si>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</si>
  <si>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</si>
  <si>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</si>
  <si>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</si>
  <si>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</si>
  <si>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</si>
  <si>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</si>
  <si>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</si>
  <si>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</si>
  <si>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</si>
  <si>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</si>
  <si>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</si>
  <si>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</si>
  <si>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</si>
  <si>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</si>
  <si>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</si>
  <si>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</si>
  <si>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</si>
  <si>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</si>
  <si>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</si>
  <si>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</si>
  <si>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</si>
  <si>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</si>
  <si>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</si>
  <si>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</si>
  <si>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</si>
  <si>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</si>
  <si>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</si>
  <si>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</si>
  <si>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</si>
  <si>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</si>
  <si>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</si>
  <si>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</si>
  <si>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</si>
  <si>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</si>
  <si>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</si>
  <si>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</si>
  <si>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</si>
  <si>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</si>
  <si>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</si>
  <si>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</si>
  <si>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</si>
  <si>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</si>
  <si>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</si>
  <si>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</si>
  <si>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</si>
  <si>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</si>
  <si>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</si>
  <si>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</si>
  <si>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</si>
  <si>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</si>
  <si>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</si>
  <si>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</si>
  <si>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</si>
  <si>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</si>
  <si>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</si>
  <si>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</si>
  <si>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</si>
  <si>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</si>
  <si>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</si>
  <si>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</si>
  <si>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</si>
  <si>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</si>
  <si>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</si>
  <si>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</si>
  <si>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</si>
  <si>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</si>
  <si>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</si>
  <si>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</si>
  <si>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</si>
  <si>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</si>
  <si>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</si>
  <si>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</si>
  <si>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</si>
  <si>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</si>
  <si>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</si>
  <si>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</si>
  <si>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</si>
  <si>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</si>
  <si>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</si>
  <si>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</si>
  <si>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</si>
  <si>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</si>
  <si>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</si>
  <si>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</si>
  <si>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1ESU : The RIM</t>
  </si>
  <si>
    <t>1ESU</t>
  </si>
  <si>
    <t>La Cantera</t>
  </si>
  <si>
    <t>17503 La Cantera Pkwy, Suite 112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</si>
  <si>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</si>
  <si>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</si>
  <si>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</si>
  <si>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</si>
  <si>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</si>
  <si>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</si>
  <si>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</si>
  <si>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</si>
  <si>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</si>
  <si>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</si>
  <si>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</si>
  <si>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</si>
  <si>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</si>
  <si>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</si>
  <si>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</si>
  <si>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</si>
  <si>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</si>
  <si>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</si>
  <si>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</si>
  <si>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</si>
  <si>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</si>
  <si>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</si>
  <si>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</si>
  <si>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</si>
  <si>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</si>
  <si>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</si>
  <si>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</si>
  <si>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</si>
  <si>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</si>
  <si>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</si>
  <si>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</si>
  <si>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</si>
  <si>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</si>
  <si>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</si>
  <si>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</si>
  <si>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</si>
  <si>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</si>
  <si>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</si>
  <si>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</si>
  <si>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</si>
  <si>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</si>
  <si>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</si>
  <si>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</si>
  <si>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</si>
  <si>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</si>
  <si>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</si>
  <si>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</si>
  <si>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</si>
  <si>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</si>
  <si>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</si>
  <si>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</si>
  <si>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</si>
  <si>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</si>
  <si>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</si>
  <si>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</si>
  <si>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</si>
  <si>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</si>
  <si>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</si>
  <si>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</si>
  <si>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</si>
  <si>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</si>
  <si>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</si>
  <si>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</si>
  <si>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</si>
  <si>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</si>
  <si>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</si>
  <si>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</si>
  <si>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</si>
  <si>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</si>
  <si>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</si>
  <si>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</si>
  <si>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</si>
  <si>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</si>
  <si>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</si>
  <si>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</si>
  <si>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</si>
  <si>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</si>
  <si>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</si>
  <si>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</si>
  <si>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</si>
  <si>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</si>
  <si>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</si>
  <si>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</si>
  <si>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</si>
  <si>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</si>
  <si>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</si>
  <si>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</si>
  <si>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</si>
  <si>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</si>
  <si>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</si>
  <si>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</si>
  <si>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</si>
  <si>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</si>
  <si>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</si>
  <si>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</si>
  <si>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</si>
  <si>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</si>
  <si>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</si>
  <si>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</si>
  <si>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</si>
  <si>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</si>
  <si>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</si>
  <si>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</si>
  <si>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</si>
  <si>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</si>
  <si>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</si>
  <si>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</si>
  <si>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</si>
  <si>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</si>
  <si>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</si>
  <si>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</si>
  <si>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</si>
  <si>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</si>
  <si>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</si>
  <si>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</si>
  <si>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</si>
  <si>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</si>
  <si>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</si>
  <si>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</si>
  <si>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</si>
  <si>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</si>
  <si>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</si>
  <si>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</si>
  <si>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</si>
  <si>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</si>
  <si>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</si>
  <si>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</si>
  <si>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</si>
  <si>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</si>
  <si>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</si>
  <si>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08/2026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</si>
  <si>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</si>
  <si>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</si>
  <si>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</si>
  <si>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</si>
  <si>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</si>
  <si>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</si>
  <si>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</si>
  <si>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</si>
  <si>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</si>
  <si>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</si>
  <si>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687E: Peoria Ave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</si>
  <si>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</si>
  <si>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</si>
  <si>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</si>
  <si>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</si>
  <si>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</si>
  <si>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</si>
  <si>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1FSM: Round Rock</t>
  </si>
  <si>
    <t>1DSU: Bryan</t>
  </si>
  <si>
    <t>586D: Ardmore</t>
  </si>
  <si>
    <t>1FSH: Manor</t>
  </si>
  <si>
    <t>1CSD: Bedford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</si>
  <si>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</si>
  <si>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</si>
  <si>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</si>
  <si>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</si>
  <si>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</si>
  <si>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</si>
  <si>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</si>
  <si>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</si>
  <si>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</si>
  <si>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</si>
  <si>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</si>
  <si>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4320: Bartlesville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</si>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</sst>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2">
    <font>
      <sz val="12"/>
      <name val="Aptos Narrow"/>
    </font>
    <font>
      <sz val="12"/>
      <color theme="1"/>
      <name val="Aptos Narrow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42"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4" totalsRowShown="0">
  <autoFilter ref="A1:AP94" xr:uid="{30DB740C-87F1-EE4A-BB0C-BEFC90E92422}"/>
  <tableColumns count="42">
    <tableColumn id="1" xr3:uid="{B0493F91-5679-A948-94FA-8A73741D88E4}" name="District" dataDxfId="41">
      <calculatedColumnFormula>_xlfn.XLOOKUP(Table1[[#This Row],[SAP]],'Location List'!B:B,'Location List'!G:G)</calculatedColumnFormula>
    </tableColumn>
    <tableColumn id="2" xr3:uid="{615C575E-CDA8-5249-A7AF-70D7B002ACCA}" name="SAP" dataDxfId="40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26"/>
    <tableColumn id="6" xr3:uid="{A168D218-D14E-E547-B3B1-A2808F67BF89}" name="Overall Rank" dataDxfId="25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24"/>
    <tableColumn id="10" xr3:uid="{349F7BF2-356F-6348-BCC4-3B3C3AB4E00D}" name="GP Per Labor Hour Tgt" dataDxfId="23"/>
    <tableColumn id="11" xr3:uid="{6D684DE5-7137-5840-97C8-A4863C2FABE2}" name="GP Per Labor Hour %Tgt" dataDxfId="22"/>
    <tableColumn id="12" xr3:uid="{01775AEF-BD87-7A43-BAA8-F13144163089}" name="GP Per Labor Hour Rank" dataDxfId="21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20"/>
    <tableColumn id="16" xr3:uid="{8EB41998-EBB9-E044-9215-0BCF406BBFFB}" name="PP Act Attain Rank" dataDxfId="19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18"/>
    <tableColumn id="20" xr3:uid="{1A4AD9C4-FB16-704D-A94D-FF1A877BDAA0}" name="Rebiz Conv Target" dataDxfId="17"/>
    <tableColumn id="21" xr3:uid="{F2A3AC37-70AE-1F43-BD04-5BAB35B84325}" name="ReBiz Conv %Tgt" dataDxfId="16"/>
    <tableColumn id="22" xr3:uid="{3B169463-A998-094D-8F50-A2D360B78CAB}" name="ReBiz Conv Rank" dataDxfId="15"/>
    <tableColumn id="23" xr3:uid="{D4D05F28-A72F-394F-8F26-79425FF9EF2F}" name="Acc GP Pct Actual" dataDxfId="14"/>
    <tableColumn id="24" xr3:uid="{8296BA4E-3C04-1245-B57E-1FD32987A3C8}" name="Acc GP Pct Rank" dataDxfId="13"/>
    <tableColumn id="25" xr3:uid="{61C2A580-E640-634C-8BC6-F309EA32397E}" name="CSAT Actual"/>
    <tableColumn id="26" xr3:uid="{3EEAE444-B0C2-9B4D-8A36-2692524AF728}" name="CSAT Rank" dataDxfId="12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11"/>
    <tableColumn id="30" xr3:uid="{B89CC8CA-9794-544F-8D9F-2539B39AAF26}" name="Visa Priority Rate Tgt" dataDxfId="10"/>
    <tableColumn id="31" xr3:uid="{8784C1D1-2A00-8B47-99D3-3FC0DF5A52E8}" name="Visa Priority Rate %Tg" dataDxfId="9"/>
    <tableColumn id="32" xr3:uid="{74291987-9F37-944A-9D6E-840AC61C3684}" name="Visa Priority Rate Rank" dataDxfId="8"/>
    <tableColumn id="33" xr3:uid="{BDB0B596-1E32-B742-B2DC-8453C8A0C2A8}" name="Indexed P360 Attach Rate" dataDxfId="7"/>
    <tableColumn id="34" xr3:uid="{FAF8028F-EDCF-FD4F-8CB9-50472D2B4A6A}" name="P360 Attach Rate Tgt" dataDxfId="6"/>
    <tableColumn id="35" xr3:uid="{94E51D17-D033-D94C-9EC9-408C5416E4B5}" name="P360 Attach Rate %Tgt" dataDxfId="5"/>
    <tableColumn id="36" xr3:uid="{BD30D2C8-CAD0-F645-8B7D-6F1A4F94152E}" name="P360 Attach Rate Rank" dataDxfId="4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3"/>
    <tableColumn id="40" xr3:uid="{BABCBED6-E839-1C4E-BEA7-9ABD2F28AEF9}" name="Premium Mix Rate Tgt" dataDxfId="2"/>
    <tableColumn id="41" xr3:uid="{C548EB79-CE5F-7C4B-844C-127942052220}" name="Premium Mix Rate %Tgt" dataDxfId="1"/>
    <tableColumn id="42" xr3:uid="{1FA68684-EB6D-2E46-AB5A-783C10835526}" name="Premium Rate Plan Rank" dataDxfId="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L98" totalsRowShown="0" dataDxfId="39">
  <autoFilter ref="A1:L98" xr:uid="{00000000-0009-0000-0100-000002000000}"/>
  <tableColumns count="12">
    <tableColumn id="1" xr3:uid="{3FEB6CE3-5B7C-674A-A867-802311C44607}" name="AR Store Name" dataDxfId="38"/>
    <tableColumn id="2" xr3:uid="{50AA75CE-3BB3-D24B-A45F-347258F74836}" name="STORE CODE" dataDxfId="37"/>
    <tableColumn id="3" xr3:uid="{F3EC1DB5-C24C-9D44-BDCF-CDC8835FCE6C}" name="STORE NAME" dataDxfId="36"/>
    <tableColumn id="4" xr3:uid="{A1B2471F-CB7F-AB48-8DCE-A585A025C57E}" name="ADDRESS" dataDxfId="35"/>
    <tableColumn id="5" xr3:uid="{334D88FA-97D1-544E-9FD8-73E4B6049B4B}" name="CITY" dataDxfId="34"/>
    <tableColumn id="6" xr3:uid="{0F89ADE6-F38B-164A-BBF6-895032C31100}" name="STATE" dataDxfId="33"/>
    <tableColumn id="7" xr3:uid="{1F215A0E-6220-7245-8614-DC0C46252518}" name="DISTRICT" dataDxfId="32"/>
    <tableColumn id="8" xr3:uid="{AB2DD164-D502-7943-BC2D-A887C60C00B3}" name="REGION" dataDxfId="31"/>
    <tableColumn id="9" xr3:uid="{997E2F5A-3DCC-594D-8DEC-4A4C5520ADB2}" name="AREA" dataDxfId="30"/>
    <tableColumn id="10" xr3:uid="{9A64CD2B-CAE2-6B40-9A1E-88A2AC3CD2BA}" name="DM" dataDxfId="29"/>
    <tableColumn id="11" xr3:uid="{4DB8EA52-15EB-B345-A378-2BE0CC933B51}" name="RVP" dataDxfId="28"/>
    <tableColumn id="12" xr3:uid="{24C75FC1-3071-9B4B-A2AC-1049CA9B97C4}" name="ADM" dataDxfId="27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4"/>
  <sheetViews>
    <sheetView tabSelected="1" workbookViewId="0">
      <selection activeCell="E102" sqref="E102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506</v>
      </c>
      <c r="B1" s="4" t="s">
        <v>507</v>
      </c>
      <c r="C1" s="1" t="s">
        <v>466</v>
      </c>
      <c r="D1" s="1" t="s">
        <v>508</v>
      </c>
      <c r="E1" s="1" t="s">
        <v>467</v>
      </c>
      <c r="F1" s="1" t="s">
        <v>468</v>
      </c>
      <c r="G1" s="1" t="s">
        <v>469</v>
      </c>
      <c r="H1" s="1" t="s">
        <v>470</v>
      </c>
      <c r="I1" s="1" t="s">
        <v>471</v>
      </c>
      <c r="J1" s="1" t="s">
        <v>472</v>
      </c>
      <c r="K1" s="1" t="s">
        <v>473</v>
      </c>
      <c r="L1" s="1" t="s">
        <v>474</v>
      </c>
      <c r="M1" s="1" t="s">
        <v>475</v>
      </c>
      <c r="N1" s="1" t="s">
        <v>476</v>
      </c>
      <c r="O1" s="1" t="s">
        <v>477</v>
      </c>
      <c r="P1" s="1" t="s">
        <v>478</v>
      </c>
      <c r="Q1" s="1" t="s">
        <v>479</v>
      </c>
      <c r="R1" s="1" t="s">
        <v>480</v>
      </c>
      <c r="S1" s="1" t="s">
        <v>481</v>
      </c>
      <c r="T1" s="1" t="s">
        <v>482</v>
      </c>
      <c r="U1" s="1" t="s">
        <v>483</v>
      </c>
      <c r="V1" s="1" t="s">
        <v>484</v>
      </c>
      <c r="W1" s="1" t="s">
        <v>485</v>
      </c>
      <c r="X1" s="1" t="s">
        <v>486</v>
      </c>
      <c r="Y1" s="1" t="s">
        <v>487</v>
      </c>
      <c r="Z1" s="1" t="s">
        <v>488</v>
      </c>
      <c r="AA1" s="1" t="s">
        <v>489</v>
      </c>
      <c r="AB1" s="1" t="s">
        <v>490</v>
      </c>
      <c r="AC1" s="1" t="s">
        <v>491</v>
      </c>
      <c r="AD1" s="1" t="s">
        <v>492</v>
      </c>
      <c r="AE1" s="1" t="s">
        <v>493</v>
      </c>
      <c r="AF1" s="1" t="s">
        <v>494</v>
      </c>
      <c r="AG1" s="1" t="s">
        <v>495</v>
      </c>
      <c r="AH1" s="1" t="s">
        <v>496</v>
      </c>
      <c r="AI1" s="1" t="s">
        <v>497</v>
      </c>
      <c r="AJ1" s="1" t="s">
        <v>498</v>
      </c>
      <c r="AK1" s="1" t="s">
        <v>499</v>
      </c>
      <c r="AL1" s="1" t="s">
        <v>500</v>
      </c>
      <c r="AM1" s="1" t="s">
        <v>501</v>
      </c>
      <c r="AN1" s="1" t="s">
        <v>502</v>
      </c>
      <c r="AO1" s="1" t="s">
        <v>503</v>
      </c>
      <c r="AP1" s="1" t="s">
        <v>504</v>
      </c>
    </row>
    <row r="2" spans="1:42">
      <c r="A2" s="4" t="str">
        <f>_xlfn.XLOOKUP(Table1[[#This Row],[SAP]],'Location List'!B:B,'Location List'!G:G)</f>
        <v>MO/IA/NE</v>
      </c>
      <c r="B2" s="4" t="str">
        <f>LEFT(Table1[[#This Row],[Sap: Loaction]],4)</f>
        <v>4ASM</v>
      </c>
      <c r="C2" t="s">
        <v>505</v>
      </c>
      <c r="D2" t="s">
        <v>509</v>
      </c>
      <c r="E2" s="3">
        <v>1</v>
      </c>
      <c r="F2" s="3">
        <v>4</v>
      </c>
      <c r="G2">
        <v>61.7</v>
      </c>
      <c r="H2" t="s">
        <v>470</v>
      </c>
      <c r="I2" s="6">
        <v>66.842200000000005</v>
      </c>
      <c r="J2" s="6">
        <v>39.998922865178628</v>
      </c>
      <c r="K2" s="5">
        <v>1.6711</v>
      </c>
      <c r="L2" s="3">
        <v>18</v>
      </c>
      <c r="M2">
        <v>299</v>
      </c>
      <c r="N2">
        <v>168.97200000000001</v>
      </c>
      <c r="O2" s="5">
        <v>1.7695000000000001</v>
      </c>
      <c r="P2" s="3">
        <v>2</v>
      </c>
      <c r="Q2">
        <v>433</v>
      </c>
      <c r="R2">
        <v>1856</v>
      </c>
      <c r="S2" s="5">
        <v>0.23329741379310345</v>
      </c>
      <c r="T2" s="5">
        <v>0.2399932247640196</v>
      </c>
      <c r="U2" s="5">
        <v>0.97209999999999996</v>
      </c>
      <c r="V2" s="3">
        <v>49</v>
      </c>
      <c r="W2" s="5">
        <v>1.7159473567745982</v>
      </c>
      <c r="X2" s="3">
        <v>20</v>
      </c>
      <c r="Y2">
        <v>9.4210999999999991</v>
      </c>
      <c r="Z2" s="3">
        <v>78</v>
      </c>
      <c r="AA2">
        <v>32</v>
      </c>
      <c r="AB2">
        <v>387</v>
      </c>
      <c r="AC2" s="5">
        <v>8.2687338501291993E-2</v>
      </c>
      <c r="AD2" s="5">
        <v>0.1</v>
      </c>
      <c r="AE2" s="5">
        <v>0.82689999999999997</v>
      </c>
      <c r="AF2" s="3">
        <v>147</v>
      </c>
      <c r="AG2" s="5">
        <v>0.36580033333333334</v>
      </c>
      <c r="AH2" s="5">
        <v>0.4</v>
      </c>
      <c r="AI2" s="5">
        <v>0.91449999999999998</v>
      </c>
      <c r="AJ2" s="3">
        <v>99</v>
      </c>
      <c r="AK2">
        <v>69</v>
      </c>
      <c r="AL2">
        <v>81</v>
      </c>
      <c r="AM2" s="5">
        <v>0.85185185185185186</v>
      </c>
      <c r="AN2" s="5">
        <v>0.8</v>
      </c>
      <c r="AO2" s="5">
        <v>1.0648</v>
      </c>
      <c r="AP2" s="3">
        <v>96</v>
      </c>
    </row>
    <row r="3" spans="1:42">
      <c r="A3" s="4" t="str">
        <f>_xlfn.XLOOKUP(Table1[[#This Row],[SAP]],'Location List'!B:B,'Location List'!G:G)</f>
        <v>SOUTH TX/RGV</v>
      </c>
      <c r="B3" s="4" t="str">
        <f>LEFT(Table1[[#This Row],[Sap: Loaction]],4)</f>
        <v>2584</v>
      </c>
      <c r="C3" t="s">
        <v>505</v>
      </c>
      <c r="D3" t="s">
        <v>515</v>
      </c>
      <c r="E3" s="3">
        <v>1</v>
      </c>
      <c r="F3" s="3">
        <v>15</v>
      </c>
      <c r="G3">
        <v>80.75</v>
      </c>
      <c r="H3" t="s">
        <v>470</v>
      </c>
      <c r="I3" s="6">
        <v>53.543999999999997</v>
      </c>
      <c r="J3" s="6">
        <v>40</v>
      </c>
      <c r="K3" s="5">
        <v>1.3386</v>
      </c>
      <c r="L3" s="3">
        <v>54</v>
      </c>
      <c r="M3">
        <v>403</v>
      </c>
      <c r="N3">
        <v>257.25400000000002</v>
      </c>
      <c r="O3" s="5">
        <v>1.5665</v>
      </c>
      <c r="P3" s="3">
        <v>13</v>
      </c>
      <c r="Q3">
        <v>546</v>
      </c>
      <c r="R3">
        <v>2607</v>
      </c>
      <c r="S3" s="5">
        <v>0.2094361334867664</v>
      </c>
      <c r="T3" s="5">
        <v>0.23998640252866552</v>
      </c>
      <c r="U3" s="5">
        <v>0.87270000000000003</v>
      </c>
      <c r="V3" s="3">
        <v>87</v>
      </c>
      <c r="W3" s="5">
        <v>1.3930412114952673</v>
      </c>
      <c r="X3" s="3">
        <v>74</v>
      </c>
      <c r="Y3">
        <v>9.4844000000000008</v>
      </c>
      <c r="Z3" s="3">
        <v>60</v>
      </c>
      <c r="AA3">
        <v>67</v>
      </c>
      <c r="AB3">
        <v>439</v>
      </c>
      <c r="AC3" s="5">
        <v>0.15261958997722094</v>
      </c>
      <c r="AD3" s="5">
        <v>0.1</v>
      </c>
      <c r="AE3" s="5">
        <v>1.5262</v>
      </c>
      <c r="AF3" s="3">
        <v>49</v>
      </c>
      <c r="AG3" s="5">
        <v>0.37631233333333336</v>
      </c>
      <c r="AH3" s="5">
        <v>0.4</v>
      </c>
      <c r="AI3" s="5">
        <v>0.94079999999999997</v>
      </c>
      <c r="AJ3" s="3">
        <v>79</v>
      </c>
      <c r="AK3">
        <v>61</v>
      </c>
      <c r="AL3">
        <v>99</v>
      </c>
      <c r="AM3" s="5">
        <v>0.61616161616161613</v>
      </c>
      <c r="AN3" s="5">
        <v>0.8</v>
      </c>
      <c r="AO3" s="5">
        <v>0.7702</v>
      </c>
      <c r="AP3" s="3">
        <v>290</v>
      </c>
    </row>
    <row r="4" spans="1:42">
      <c r="A4" s="4" t="str">
        <f>_xlfn.XLOOKUP(Table1[[#This Row],[SAP]],'Location List'!B:B,'Location List'!G:G)</f>
        <v>KS/OK</v>
      </c>
      <c r="B4" s="4" t="str">
        <f>LEFT(Table1[[#This Row],[Sap: Loaction]],4)</f>
        <v>4781</v>
      </c>
      <c r="C4" t="s">
        <v>505</v>
      </c>
      <c r="D4" t="s">
        <v>512</v>
      </c>
      <c r="E4" s="3">
        <v>1</v>
      </c>
      <c r="F4" s="3">
        <v>20</v>
      </c>
      <c r="G4">
        <v>84.75</v>
      </c>
      <c r="H4" t="s">
        <v>470</v>
      </c>
      <c r="I4" s="6">
        <v>48.773899999999998</v>
      </c>
      <c r="J4" s="6">
        <v>40.001558271139174</v>
      </c>
      <c r="K4" s="5">
        <v>1.2193000000000001</v>
      </c>
      <c r="L4" s="3">
        <v>86</v>
      </c>
      <c r="M4">
        <v>427</v>
      </c>
      <c r="N4">
        <v>306.61200000000002</v>
      </c>
      <c r="O4" s="5">
        <v>1.3926000000000001</v>
      </c>
      <c r="P4" s="3">
        <v>28</v>
      </c>
      <c r="Q4">
        <v>520</v>
      </c>
      <c r="R4">
        <v>1830</v>
      </c>
      <c r="S4" s="5">
        <v>0.28415300546448086</v>
      </c>
      <c r="T4" s="5">
        <v>0.23999409245310885</v>
      </c>
      <c r="U4" s="5">
        <v>1.1839999999999999</v>
      </c>
      <c r="V4" s="3">
        <v>10</v>
      </c>
      <c r="W4" s="5">
        <v>1.2607873331196338</v>
      </c>
      <c r="X4" s="3">
        <v>119</v>
      </c>
      <c r="Y4">
        <v>9.0417000000000005</v>
      </c>
      <c r="Z4" s="3">
        <v>165</v>
      </c>
      <c r="AA4">
        <v>21</v>
      </c>
      <c r="AB4">
        <v>301</v>
      </c>
      <c r="AC4" s="5">
        <v>6.9767441860465115E-2</v>
      </c>
      <c r="AD4" s="5">
        <v>0.1</v>
      </c>
      <c r="AE4" s="5">
        <v>0.69769999999999999</v>
      </c>
      <c r="AF4" s="3">
        <v>185</v>
      </c>
      <c r="AG4" s="5">
        <v>0.43496066666666672</v>
      </c>
      <c r="AH4" s="5">
        <v>0.4</v>
      </c>
      <c r="AI4" s="5">
        <v>1.0873999999999999</v>
      </c>
      <c r="AJ4" s="3">
        <v>38</v>
      </c>
      <c r="AK4">
        <v>65</v>
      </c>
      <c r="AL4">
        <v>72</v>
      </c>
      <c r="AM4" s="5">
        <v>0.90277777777777779</v>
      </c>
      <c r="AN4" s="5">
        <v>0.8</v>
      </c>
      <c r="AO4" s="5">
        <v>1.1285000000000001</v>
      </c>
      <c r="AP4" s="3">
        <v>62</v>
      </c>
    </row>
    <row r="5" spans="1:42">
      <c r="A5" s="4" t="str">
        <f>_xlfn.XLOOKUP(Table1[[#This Row],[SAP]],'Location List'!B:B,'Location List'!G:G)</f>
        <v>KS/OK</v>
      </c>
      <c r="B5" s="4" t="str">
        <f>LEFT(Table1[[#This Row],[Sap: Loaction]],4)</f>
        <v>966D</v>
      </c>
      <c r="C5" t="s">
        <v>505</v>
      </c>
      <c r="D5" t="s">
        <v>517</v>
      </c>
      <c r="E5" s="3">
        <v>1</v>
      </c>
      <c r="F5" s="3">
        <v>28</v>
      </c>
      <c r="G5">
        <v>99.65</v>
      </c>
      <c r="H5" t="s">
        <v>470</v>
      </c>
      <c r="I5" s="6">
        <v>61.365299999999998</v>
      </c>
      <c r="J5" s="6">
        <v>40.000847402385759</v>
      </c>
      <c r="K5" s="5">
        <v>1.5341</v>
      </c>
      <c r="L5" s="3">
        <v>28</v>
      </c>
      <c r="M5">
        <v>306</v>
      </c>
      <c r="N5">
        <v>243.96199999999999</v>
      </c>
      <c r="O5" s="5">
        <v>1.2543</v>
      </c>
      <c r="P5" s="3">
        <v>55</v>
      </c>
      <c r="Q5">
        <v>426</v>
      </c>
      <c r="R5">
        <v>1968</v>
      </c>
      <c r="S5" s="5">
        <v>0.21646341463414634</v>
      </c>
      <c r="T5" s="5">
        <v>0.24000822112667294</v>
      </c>
      <c r="U5" s="5">
        <v>0.90190000000000003</v>
      </c>
      <c r="V5" s="3">
        <v>74</v>
      </c>
      <c r="W5" s="5">
        <v>2.0302810483562497</v>
      </c>
      <c r="X5" s="3">
        <v>10</v>
      </c>
      <c r="Y5">
        <v>9.4666999999999994</v>
      </c>
      <c r="Z5" s="3">
        <v>66</v>
      </c>
      <c r="AA5">
        <v>31</v>
      </c>
      <c r="AB5">
        <v>413</v>
      </c>
      <c r="AC5" s="5">
        <v>7.5060532687651338E-2</v>
      </c>
      <c r="AD5" s="5">
        <v>0.1</v>
      </c>
      <c r="AE5" s="5">
        <v>0.75060000000000004</v>
      </c>
      <c r="AF5" s="3">
        <v>164</v>
      </c>
      <c r="AG5" s="5">
        <v>0.26905066666666666</v>
      </c>
      <c r="AH5" s="5">
        <v>0.4</v>
      </c>
      <c r="AI5" s="5">
        <v>0.67259999999999998</v>
      </c>
      <c r="AJ5" s="3">
        <v>225</v>
      </c>
      <c r="AK5">
        <v>39</v>
      </c>
      <c r="AL5">
        <v>53</v>
      </c>
      <c r="AM5" s="5">
        <v>0.73584905660377353</v>
      </c>
      <c r="AN5" s="5">
        <v>0.8</v>
      </c>
      <c r="AO5" s="5">
        <v>0.91979999999999995</v>
      </c>
      <c r="AP5" s="3">
        <v>214</v>
      </c>
    </row>
    <row r="6" spans="1:42">
      <c r="A6" s="4" t="str">
        <f>_xlfn.XLOOKUP(Table1[[#This Row],[SAP]],'Location List'!B:B,'Location List'!G:G)</f>
        <v>SA SOUTH</v>
      </c>
      <c r="B6" s="4" t="str">
        <f>LEFT(Table1[[#This Row],[Sap: Loaction]],4)</f>
        <v>1627</v>
      </c>
      <c r="C6" t="s">
        <v>505</v>
      </c>
      <c r="D6" t="s">
        <v>514</v>
      </c>
      <c r="E6" s="3">
        <v>1</v>
      </c>
      <c r="F6" s="3">
        <v>45</v>
      </c>
      <c r="G6">
        <v>111.45</v>
      </c>
      <c r="H6" t="s">
        <v>470</v>
      </c>
      <c r="I6" s="6">
        <v>46.044199999999996</v>
      </c>
      <c r="J6" s="6">
        <v>40.000173746850834</v>
      </c>
      <c r="K6" s="5">
        <v>1.1511</v>
      </c>
      <c r="L6" s="3">
        <v>115</v>
      </c>
      <c r="M6">
        <v>289</v>
      </c>
      <c r="N6">
        <v>265.79399999999998</v>
      </c>
      <c r="O6" s="5">
        <v>1.0872999999999999</v>
      </c>
      <c r="P6" s="3">
        <v>104</v>
      </c>
      <c r="Q6">
        <v>441</v>
      </c>
      <c r="R6">
        <v>1776</v>
      </c>
      <c r="S6" s="5">
        <v>0.2483108108108108</v>
      </c>
      <c r="T6" s="5">
        <v>0.24000658303770617</v>
      </c>
      <c r="U6" s="5">
        <v>1.0346</v>
      </c>
      <c r="V6" s="3">
        <v>34</v>
      </c>
      <c r="W6" s="5">
        <v>1.2216448108298381</v>
      </c>
      <c r="X6" s="3">
        <v>135</v>
      </c>
      <c r="Y6">
        <v>9.5848999999999993</v>
      </c>
      <c r="Z6" s="3">
        <v>47</v>
      </c>
      <c r="AA6">
        <v>10</v>
      </c>
      <c r="AB6">
        <v>125</v>
      </c>
      <c r="AC6" s="5">
        <v>0.08</v>
      </c>
      <c r="AD6" s="5">
        <v>0.1</v>
      </c>
      <c r="AE6" s="5">
        <v>0.8</v>
      </c>
      <c r="AF6" s="3">
        <v>152</v>
      </c>
      <c r="AG6" s="5">
        <v>0.354074</v>
      </c>
      <c r="AH6" s="5">
        <v>0.4</v>
      </c>
      <c r="AI6" s="5">
        <v>0.88519999999999999</v>
      </c>
      <c r="AJ6" s="3">
        <v>108</v>
      </c>
      <c r="AK6">
        <v>49</v>
      </c>
      <c r="AL6">
        <v>67</v>
      </c>
      <c r="AM6" s="5">
        <v>0.73134328358208955</v>
      </c>
      <c r="AN6" s="5">
        <v>0.8</v>
      </c>
      <c r="AO6" s="5">
        <v>0.91420000000000001</v>
      </c>
      <c r="AP6" s="3">
        <v>217</v>
      </c>
    </row>
    <row r="7" spans="1:42">
      <c r="A7" s="4" t="str">
        <f>_xlfn.XLOOKUP(Table1[[#This Row],[SAP]],'Location List'!B:B,'Location List'!G:G)</f>
        <v>CENTRAL TEXAS</v>
      </c>
      <c r="B7" s="4" t="str">
        <f>LEFT(Table1[[#This Row],[Sap: Loaction]],4)</f>
        <v>545D</v>
      </c>
      <c r="C7" t="s">
        <v>505</v>
      </c>
      <c r="D7" t="s">
        <v>513</v>
      </c>
      <c r="E7" s="3">
        <v>1</v>
      </c>
      <c r="F7" s="3">
        <v>57</v>
      </c>
      <c r="G7">
        <v>118.65</v>
      </c>
      <c r="H7" t="s">
        <v>470</v>
      </c>
      <c r="I7" s="6">
        <v>49.32</v>
      </c>
      <c r="J7" s="6">
        <v>35.001064509261234</v>
      </c>
      <c r="K7" s="5">
        <v>1.4091</v>
      </c>
      <c r="L7" s="3">
        <v>46</v>
      </c>
      <c r="M7">
        <v>112</v>
      </c>
      <c r="N7">
        <v>95.873999999999995</v>
      </c>
      <c r="O7" s="5">
        <v>1.1681999999999999</v>
      </c>
      <c r="P7" s="3">
        <v>76</v>
      </c>
      <c r="Q7">
        <v>169</v>
      </c>
      <c r="R7">
        <v>977</v>
      </c>
      <c r="S7" s="5">
        <v>0.172978505629478</v>
      </c>
      <c r="T7" s="5">
        <v>0.2400145769799889</v>
      </c>
      <c r="U7" s="5">
        <v>0.72070000000000001</v>
      </c>
      <c r="V7" s="3">
        <v>175</v>
      </c>
      <c r="W7" s="5">
        <v>1.3974744209879904</v>
      </c>
      <c r="X7" s="3">
        <v>72</v>
      </c>
      <c r="Y7">
        <v>9.4347999999999992</v>
      </c>
      <c r="Z7" s="3">
        <v>74</v>
      </c>
      <c r="AA7">
        <v>11</v>
      </c>
      <c r="AB7">
        <v>171</v>
      </c>
      <c r="AC7" s="5">
        <v>6.4327485380116955E-2</v>
      </c>
      <c r="AD7" s="5">
        <v>0.1</v>
      </c>
      <c r="AE7" s="5">
        <v>0.64329999999999998</v>
      </c>
      <c r="AF7" s="3">
        <v>202</v>
      </c>
      <c r="AG7" s="5">
        <v>0.31058566666666665</v>
      </c>
      <c r="AH7" s="5">
        <v>0.4</v>
      </c>
      <c r="AI7" s="5">
        <v>0.77649999999999997</v>
      </c>
      <c r="AJ7" s="3">
        <v>170</v>
      </c>
      <c r="AK7">
        <v>34</v>
      </c>
      <c r="AL7">
        <v>41</v>
      </c>
      <c r="AM7" s="5">
        <v>0.82926829268292679</v>
      </c>
      <c r="AN7" s="5">
        <v>0.8</v>
      </c>
      <c r="AO7" s="5">
        <v>1.0366</v>
      </c>
      <c r="AP7" s="3">
        <v>122</v>
      </c>
    </row>
    <row r="8" spans="1:42">
      <c r="A8" s="4" t="str">
        <f>_xlfn.XLOOKUP(Table1[[#This Row],[SAP]],'Location List'!B:B,'Location List'!G:G)</f>
        <v>KS/OK</v>
      </c>
      <c r="B8" s="4" t="str">
        <f>LEFT(Table1[[#This Row],[Sap: Loaction]],4)</f>
        <v>586D</v>
      </c>
      <c r="C8" t="s">
        <v>505</v>
      </c>
      <c r="D8" t="s">
        <v>525</v>
      </c>
      <c r="E8" s="3">
        <v>1</v>
      </c>
      <c r="F8" s="3">
        <v>61</v>
      </c>
      <c r="G8">
        <v>120.3</v>
      </c>
      <c r="H8" t="s">
        <v>470</v>
      </c>
      <c r="I8" s="6">
        <v>57.834800000000001</v>
      </c>
      <c r="J8" s="6">
        <v>39.999170067086247</v>
      </c>
      <c r="K8" s="5">
        <v>1.4459</v>
      </c>
      <c r="L8" s="3">
        <v>37</v>
      </c>
      <c r="M8">
        <v>235</v>
      </c>
      <c r="N8">
        <v>166.11799999999999</v>
      </c>
      <c r="O8" s="5">
        <v>1.4147000000000001</v>
      </c>
      <c r="P8" s="3">
        <v>24</v>
      </c>
      <c r="Q8">
        <v>330</v>
      </c>
      <c r="R8">
        <v>1903</v>
      </c>
      <c r="S8" s="5">
        <v>0.17341040462427745</v>
      </c>
      <c r="T8" s="5">
        <v>0.24001440086405182</v>
      </c>
      <c r="U8" s="5">
        <v>0.72250000000000003</v>
      </c>
      <c r="V8" s="3">
        <v>174</v>
      </c>
      <c r="W8" s="5">
        <v>1.4491062650441773</v>
      </c>
      <c r="X8" s="3">
        <v>56</v>
      </c>
      <c r="Y8">
        <v>9.1803000000000008</v>
      </c>
      <c r="Z8" s="3">
        <v>135</v>
      </c>
      <c r="AA8">
        <v>16</v>
      </c>
      <c r="AB8">
        <v>313</v>
      </c>
      <c r="AC8" s="5">
        <v>5.1118210862619806E-2</v>
      </c>
      <c r="AD8" s="5">
        <v>0.1</v>
      </c>
      <c r="AE8" s="5">
        <v>0.51119999999999999</v>
      </c>
      <c r="AF8" s="3">
        <v>229</v>
      </c>
      <c r="AG8" s="5">
        <v>0.27160066666666666</v>
      </c>
      <c r="AH8" s="5">
        <v>0.4</v>
      </c>
      <c r="AI8" s="5">
        <v>0.67900000000000005</v>
      </c>
      <c r="AJ8" s="3">
        <v>220</v>
      </c>
      <c r="AK8">
        <v>23</v>
      </c>
      <c r="AL8">
        <v>27</v>
      </c>
      <c r="AM8" s="5">
        <v>0.85185185185185186</v>
      </c>
      <c r="AN8" s="5">
        <v>0.8</v>
      </c>
      <c r="AO8" s="5">
        <v>1.0648</v>
      </c>
      <c r="AP8" s="3">
        <v>96</v>
      </c>
    </row>
    <row r="9" spans="1:42">
      <c r="A9" s="4" t="str">
        <f>_xlfn.XLOOKUP(Table1[[#This Row],[SAP]],'Location List'!B:B,'Location List'!G:G)</f>
        <v>KS/OK</v>
      </c>
      <c r="B9" s="4" t="str">
        <f>LEFT(Table1[[#This Row],[Sap: Loaction]],4)</f>
        <v>5280</v>
      </c>
      <c r="C9" t="s">
        <v>505</v>
      </c>
      <c r="D9" t="s">
        <v>511</v>
      </c>
      <c r="E9" s="3">
        <v>1</v>
      </c>
      <c r="F9" s="3">
        <v>63</v>
      </c>
      <c r="G9">
        <v>120.4</v>
      </c>
      <c r="H9" t="s">
        <v>470</v>
      </c>
      <c r="I9" s="6">
        <v>56.508099999999999</v>
      </c>
      <c r="J9" s="6">
        <v>40.000070786437313</v>
      </c>
      <c r="K9" s="5">
        <v>1.4127000000000001</v>
      </c>
      <c r="L9" s="3">
        <v>45</v>
      </c>
      <c r="M9">
        <v>263</v>
      </c>
      <c r="N9">
        <v>131.00200000000001</v>
      </c>
      <c r="O9" s="5">
        <v>2.0076000000000001</v>
      </c>
      <c r="P9" s="3">
        <v>1</v>
      </c>
      <c r="Q9">
        <v>338</v>
      </c>
      <c r="R9">
        <v>1709</v>
      </c>
      <c r="S9" s="5">
        <v>0.19777647747220597</v>
      </c>
      <c r="T9" s="5">
        <v>0.2399908718264846</v>
      </c>
      <c r="U9" s="5">
        <v>0.82410000000000005</v>
      </c>
      <c r="V9" s="3">
        <v>108</v>
      </c>
      <c r="W9" s="5">
        <v>1.8627142809618078</v>
      </c>
      <c r="X9" s="3">
        <v>14</v>
      </c>
      <c r="Y9">
        <v>8.1999999999999993</v>
      </c>
      <c r="Z9" s="3">
        <v>306</v>
      </c>
      <c r="AA9">
        <v>11</v>
      </c>
      <c r="AB9">
        <v>290</v>
      </c>
      <c r="AC9" s="5">
        <v>3.793103448275862E-2</v>
      </c>
      <c r="AD9" s="5">
        <v>0.1</v>
      </c>
      <c r="AE9" s="5">
        <v>0.37930000000000003</v>
      </c>
      <c r="AF9" s="3">
        <v>268</v>
      </c>
      <c r="AG9" s="5">
        <v>0.333949</v>
      </c>
      <c r="AH9" s="5">
        <v>0.4</v>
      </c>
      <c r="AI9" s="5">
        <v>0.83489999999999998</v>
      </c>
      <c r="AJ9" s="3">
        <v>135</v>
      </c>
      <c r="AK9">
        <v>60</v>
      </c>
      <c r="AL9">
        <v>72</v>
      </c>
      <c r="AM9" s="5">
        <v>0.83333333333333337</v>
      </c>
      <c r="AN9" s="5">
        <v>0.8</v>
      </c>
      <c r="AO9" s="5">
        <v>1.0417000000000001</v>
      </c>
      <c r="AP9" s="3">
        <v>116</v>
      </c>
    </row>
    <row r="10" spans="1:42">
      <c r="A10" s="4" t="str">
        <f>_xlfn.XLOOKUP(Table1[[#This Row],[SAP]],'Location List'!B:B,'Location List'!G:G)</f>
        <v>MO/IA/NE</v>
      </c>
      <c r="B10" s="4" t="str">
        <f>LEFT(Table1[[#This Row],[Sap: Loaction]],4)</f>
        <v>3ISR</v>
      </c>
      <c r="C10" t="s">
        <v>505</v>
      </c>
      <c r="D10" t="s">
        <v>510</v>
      </c>
      <c r="E10" s="3">
        <v>1</v>
      </c>
      <c r="F10" s="3">
        <v>68</v>
      </c>
      <c r="G10">
        <v>122.9</v>
      </c>
      <c r="H10" t="s">
        <v>470</v>
      </c>
      <c r="I10" s="6">
        <v>55.594200000000001</v>
      </c>
      <c r="J10" s="6">
        <v>39.998704942801645</v>
      </c>
      <c r="K10" s="5">
        <v>1.3898999999999999</v>
      </c>
      <c r="L10" s="3">
        <v>49</v>
      </c>
      <c r="M10">
        <v>238</v>
      </c>
      <c r="N10">
        <v>258.202</v>
      </c>
      <c r="O10" s="5">
        <v>0.92179999999999995</v>
      </c>
      <c r="P10" s="3">
        <v>179</v>
      </c>
      <c r="Q10">
        <v>321</v>
      </c>
      <c r="R10">
        <v>1689</v>
      </c>
      <c r="S10" s="5">
        <v>0.19005328596802842</v>
      </c>
      <c r="T10" s="5">
        <v>0.23999657275922265</v>
      </c>
      <c r="U10" s="5">
        <v>0.79190000000000005</v>
      </c>
      <c r="V10" s="3">
        <v>130</v>
      </c>
      <c r="W10" s="5">
        <v>1.3843934695946365</v>
      </c>
      <c r="X10" s="3">
        <v>77</v>
      </c>
      <c r="Y10">
        <v>9.25</v>
      </c>
      <c r="Z10" s="3">
        <v>116</v>
      </c>
      <c r="AA10">
        <v>28</v>
      </c>
      <c r="AB10">
        <v>326</v>
      </c>
      <c r="AC10" s="5">
        <v>8.5889570552147243E-2</v>
      </c>
      <c r="AD10" s="5">
        <v>0.1</v>
      </c>
      <c r="AE10" s="5">
        <v>0.8589</v>
      </c>
      <c r="AF10" s="3">
        <v>138</v>
      </c>
      <c r="AG10" s="5">
        <v>0.37428299999999998</v>
      </c>
      <c r="AH10" s="5">
        <v>0.4</v>
      </c>
      <c r="AI10" s="5">
        <v>0.93569999999999998</v>
      </c>
      <c r="AJ10" s="3">
        <v>82</v>
      </c>
      <c r="AK10">
        <v>34</v>
      </c>
      <c r="AL10">
        <v>46</v>
      </c>
      <c r="AM10" s="5">
        <v>0.73913043478260865</v>
      </c>
      <c r="AN10" s="5">
        <v>0.8</v>
      </c>
      <c r="AO10" s="5">
        <v>0.92390000000000005</v>
      </c>
      <c r="AP10" s="3">
        <v>210</v>
      </c>
    </row>
    <row r="11" spans="1:42">
      <c r="A11" s="4" t="str">
        <f>_xlfn.XLOOKUP(Table1[[#This Row],[SAP]],'Location List'!B:B,'Location List'!G:G)</f>
        <v>KS/OK</v>
      </c>
      <c r="B11" s="4" t="str">
        <f>LEFT(Table1[[#This Row],[Sap: Loaction]],4)</f>
        <v>687E</v>
      </c>
      <c r="C11" t="s">
        <v>505</v>
      </c>
      <c r="D11" t="s">
        <v>516</v>
      </c>
      <c r="E11" s="3">
        <v>2</v>
      </c>
      <c r="F11" s="3">
        <v>77</v>
      </c>
      <c r="G11">
        <v>131.25</v>
      </c>
      <c r="H11" t="s">
        <v>470</v>
      </c>
      <c r="I11" s="6">
        <v>44.896700000000003</v>
      </c>
      <c r="J11" s="6">
        <v>40.000623663578047</v>
      </c>
      <c r="K11" s="5">
        <v>1.1224000000000001</v>
      </c>
      <c r="L11" s="3">
        <v>125</v>
      </c>
      <c r="M11">
        <v>265</v>
      </c>
      <c r="N11">
        <v>210.738</v>
      </c>
      <c r="O11" s="5">
        <v>1.2575000000000001</v>
      </c>
      <c r="P11" s="3">
        <v>53</v>
      </c>
      <c r="Q11">
        <v>382</v>
      </c>
      <c r="R11">
        <v>2023</v>
      </c>
      <c r="S11" s="5">
        <v>0.18882847256549679</v>
      </c>
      <c r="T11" s="5">
        <v>0.23999551673296488</v>
      </c>
      <c r="U11" s="5">
        <v>0.78680000000000005</v>
      </c>
      <c r="V11" s="3">
        <v>134</v>
      </c>
      <c r="W11" s="5">
        <v>1.0922788785604787</v>
      </c>
      <c r="X11" s="3">
        <v>186</v>
      </c>
      <c r="Y11">
        <v>8.9835999999999991</v>
      </c>
      <c r="Z11" s="3">
        <v>191</v>
      </c>
      <c r="AA11">
        <v>45</v>
      </c>
      <c r="AB11">
        <v>346</v>
      </c>
      <c r="AC11" s="5">
        <v>0.13005780346820808</v>
      </c>
      <c r="AD11" s="5">
        <v>0.1</v>
      </c>
      <c r="AE11" s="5">
        <v>1.3006</v>
      </c>
      <c r="AF11" s="3">
        <v>67</v>
      </c>
      <c r="AG11" s="5">
        <v>0.258739</v>
      </c>
      <c r="AH11" s="5">
        <v>0.4</v>
      </c>
      <c r="AI11" s="5">
        <v>0.64680000000000004</v>
      </c>
      <c r="AJ11" s="3">
        <v>238</v>
      </c>
      <c r="AK11">
        <v>51</v>
      </c>
      <c r="AL11">
        <v>62</v>
      </c>
      <c r="AM11" s="5">
        <v>0.82258064516129037</v>
      </c>
      <c r="AN11" s="5">
        <v>0.8</v>
      </c>
      <c r="AO11" s="5">
        <v>1.0282</v>
      </c>
      <c r="AP11" s="3">
        <v>129</v>
      </c>
    </row>
    <row r="12" spans="1:42">
      <c r="A12" s="4" t="str">
        <f>_xlfn.XLOOKUP(Table1[[#This Row],[SAP]],'Location List'!B:B,'Location List'!G:G)</f>
        <v>CENTRAL TEXAS</v>
      </c>
      <c r="B12" s="4" t="str">
        <f>LEFT(Table1[[#This Row],[Sap: Loaction]],4)</f>
        <v>1FSH</v>
      </c>
      <c r="C12" t="s">
        <v>505</v>
      </c>
      <c r="D12" t="s">
        <v>526</v>
      </c>
      <c r="E12" s="3">
        <v>2</v>
      </c>
      <c r="F12" s="3">
        <v>92</v>
      </c>
      <c r="G12">
        <v>138.5</v>
      </c>
      <c r="H12" t="s">
        <v>470</v>
      </c>
      <c r="I12" s="6">
        <v>50.497399999999999</v>
      </c>
      <c r="J12" s="6">
        <v>40.001108998732576</v>
      </c>
      <c r="K12" s="5">
        <v>1.2624</v>
      </c>
      <c r="L12" s="3">
        <v>73</v>
      </c>
      <c r="M12">
        <v>233</v>
      </c>
      <c r="N12">
        <v>244.911</v>
      </c>
      <c r="O12" s="5">
        <v>0.95140000000000002</v>
      </c>
      <c r="P12" s="3">
        <v>163</v>
      </c>
      <c r="Q12">
        <v>355</v>
      </c>
      <c r="R12">
        <v>1828</v>
      </c>
      <c r="S12" s="5">
        <v>0.19420131291028447</v>
      </c>
      <c r="T12" s="5">
        <v>0.23999173617187897</v>
      </c>
      <c r="U12" s="5">
        <v>0.80920000000000003</v>
      </c>
      <c r="V12" s="3">
        <v>115</v>
      </c>
      <c r="W12" s="5">
        <v>0.94000598106590927</v>
      </c>
      <c r="X12" s="3">
        <v>249</v>
      </c>
      <c r="Y12">
        <v>8.9032</v>
      </c>
      <c r="Z12" s="3">
        <v>207</v>
      </c>
      <c r="AA12">
        <v>40</v>
      </c>
      <c r="AB12">
        <v>192</v>
      </c>
      <c r="AC12" s="5">
        <v>0.20833333333333334</v>
      </c>
      <c r="AD12" s="5">
        <v>0.1</v>
      </c>
      <c r="AE12" s="5">
        <v>2.0832999999999999</v>
      </c>
      <c r="AF12" s="3">
        <v>23</v>
      </c>
      <c r="AG12" s="5">
        <v>0.32886866666666664</v>
      </c>
      <c r="AH12" s="5">
        <v>0.4</v>
      </c>
      <c r="AI12" s="5">
        <v>0.82220000000000004</v>
      </c>
      <c r="AJ12" s="3">
        <v>147</v>
      </c>
      <c r="AK12">
        <v>62</v>
      </c>
      <c r="AL12">
        <v>85</v>
      </c>
      <c r="AM12" s="5">
        <v>0.72941176470588232</v>
      </c>
      <c r="AN12" s="5">
        <v>0.8</v>
      </c>
      <c r="AO12" s="5">
        <v>0.91180000000000005</v>
      </c>
      <c r="AP12" s="3">
        <v>221</v>
      </c>
    </row>
    <row r="13" spans="1:42">
      <c r="A13" s="4" t="str">
        <f>_xlfn.XLOOKUP(Table1[[#This Row],[SAP]],'Location List'!B:B,'Location List'!G:G)</f>
        <v>KS/OK</v>
      </c>
      <c r="B13" s="4" t="str">
        <f>LEFT(Table1[[#This Row],[Sap: Loaction]],4)</f>
        <v>407D</v>
      </c>
      <c r="C13" t="s">
        <v>505</v>
      </c>
      <c r="D13" t="s">
        <v>575</v>
      </c>
      <c r="E13" s="3">
        <v>2</v>
      </c>
      <c r="F13" s="3">
        <v>93</v>
      </c>
      <c r="G13">
        <v>139.5</v>
      </c>
      <c r="H13" t="s">
        <v>470</v>
      </c>
      <c r="I13" s="6">
        <v>48.234999999999999</v>
      </c>
      <c r="J13" s="6">
        <v>39.999170743842775</v>
      </c>
      <c r="K13" s="5">
        <v>1.2059</v>
      </c>
      <c r="L13" s="3">
        <v>92</v>
      </c>
      <c r="M13">
        <v>262</v>
      </c>
      <c r="N13">
        <v>243.01400000000001</v>
      </c>
      <c r="O13" s="5">
        <v>1.0781000000000001</v>
      </c>
      <c r="P13" s="3">
        <v>110</v>
      </c>
      <c r="Q13">
        <v>360</v>
      </c>
      <c r="R13">
        <v>2275</v>
      </c>
      <c r="S13" s="5">
        <v>0.15824175824175823</v>
      </c>
      <c r="T13" s="5">
        <v>0.24001480091272295</v>
      </c>
      <c r="U13" s="5">
        <v>0.6593</v>
      </c>
      <c r="V13" s="3">
        <v>228</v>
      </c>
      <c r="W13" s="5">
        <v>1.3601374635900316</v>
      </c>
      <c r="X13" s="3">
        <v>86</v>
      </c>
      <c r="Y13">
        <v>9.5861999999999998</v>
      </c>
      <c r="Z13" s="3">
        <v>46</v>
      </c>
      <c r="AA13">
        <v>17</v>
      </c>
      <c r="AB13">
        <v>403</v>
      </c>
      <c r="AC13" s="5">
        <v>4.2183622828784122E-2</v>
      </c>
      <c r="AD13" s="5">
        <v>0.1</v>
      </c>
      <c r="AE13" s="5">
        <v>0.42180000000000001</v>
      </c>
      <c r="AF13" s="3">
        <v>256</v>
      </c>
      <c r="AG13" s="5">
        <v>0.41530099999999998</v>
      </c>
      <c r="AH13" s="5">
        <v>0.4</v>
      </c>
      <c r="AI13" s="5">
        <v>1.0383</v>
      </c>
      <c r="AJ13" s="3">
        <v>46</v>
      </c>
      <c r="AK13">
        <v>62</v>
      </c>
      <c r="AL13">
        <v>82</v>
      </c>
      <c r="AM13" s="5">
        <v>0.75609756097560976</v>
      </c>
      <c r="AN13" s="5">
        <v>0.8</v>
      </c>
      <c r="AO13" s="5">
        <v>0.94510000000000005</v>
      </c>
      <c r="AP13" s="3">
        <v>188</v>
      </c>
    </row>
    <row r="14" spans="1:42">
      <c r="A14" s="4" t="str">
        <f>_xlfn.XLOOKUP(Table1[[#This Row],[SAP]],'Location List'!B:B,'Location List'!G:G)</f>
        <v>KS/OK</v>
      </c>
      <c r="B14" s="4" t="str">
        <f>LEFT(Table1[[#This Row],[Sap: Loaction]],4)</f>
        <v>4789</v>
      </c>
      <c r="C14" t="s">
        <v>505</v>
      </c>
      <c r="D14" t="s">
        <v>519</v>
      </c>
      <c r="E14" s="3">
        <v>2</v>
      </c>
      <c r="F14" s="3">
        <v>97</v>
      </c>
      <c r="G14">
        <v>141.94999999999999</v>
      </c>
      <c r="H14" t="s">
        <v>470</v>
      </c>
      <c r="I14" s="6">
        <v>42.6539</v>
      </c>
      <c r="J14" s="6">
        <v>40.001781862515237</v>
      </c>
      <c r="K14" s="5">
        <v>1.0663</v>
      </c>
      <c r="L14" s="3">
        <v>148</v>
      </c>
      <c r="M14">
        <v>258</v>
      </c>
      <c r="N14">
        <v>280.98</v>
      </c>
      <c r="O14" s="5">
        <v>0.91820000000000002</v>
      </c>
      <c r="P14" s="3">
        <v>180</v>
      </c>
      <c r="Q14">
        <v>349</v>
      </c>
      <c r="R14">
        <v>1933</v>
      </c>
      <c r="S14" s="5">
        <v>0.18054837040869115</v>
      </c>
      <c r="T14" s="5">
        <v>0.23999517534054388</v>
      </c>
      <c r="U14" s="5">
        <v>0.75229999999999997</v>
      </c>
      <c r="V14" s="3">
        <v>150</v>
      </c>
      <c r="W14" s="5">
        <v>1.0753273424632466</v>
      </c>
      <c r="X14" s="3">
        <v>198</v>
      </c>
      <c r="Y14">
        <v>9.1175999999999995</v>
      </c>
      <c r="Z14" s="3">
        <v>147</v>
      </c>
      <c r="AA14">
        <v>52</v>
      </c>
      <c r="AB14">
        <v>292</v>
      </c>
      <c r="AC14" s="5">
        <v>0.17808219178082191</v>
      </c>
      <c r="AD14" s="5">
        <v>0.1</v>
      </c>
      <c r="AE14" s="5">
        <v>1.7807999999999999</v>
      </c>
      <c r="AF14" s="3">
        <v>33</v>
      </c>
      <c r="AG14" s="5">
        <v>0.32547633333333331</v>
      </c>
      <c r="AH14" s="5">
        <v>0.4</v>
      </c>
      <c r="AI14" s="5">
        <v>0.81369999999999998</v>
      </c>
      <c r="AJ14" s="3">
        <v>153</v>
      </c>
      <c r="AK14">
        <v>51</v>
      </c>
      <c r="AL14">
        <v>64</v>
      </c>
      <c r="AM14" s="5">
        <v>0.796875</v>
      </c>
      <c r="AN14" s="5">
        <v>0.8</v>
      </c>
      <c r="AO14" s="5">
        <v>0.99609999999999999</v>
      </c>
      <c r="AP14" s="3">
        <v>155</v>
      </c>
    </row>
    <row r="15" spans="1:42">
      <c r="A15" s="4" t="str">
        <f>_xlfn.XLOOKUP(Table1[[#This Row],[SAP]],'Location List'!B:B,'Location List'!G:G)</f>
        <v>DFW NORTH</v>
      </c>
      <c r="B15" s="4" t="str">
        <f>LEFT(Table1[[#This Row],[Sap: Loaction]],4)</f>
        <v>1CSM</v>
      </c>
      <c r="C15" t="s">
        <v>505</v>
      </c>
      <c r="D15" t="s">
        <v>528</v>
      </c>
      <c r="E15" s="3">
        <v>2</v>
      </c>
      <c r="F15" s="3">
        <v>100</v>
      </c>
      <c r="G15">
        <v>142.85</v>
      </c>
      <c r="H15" t="s">
        <v>470</v>
      </c>
      <c r="I15" s="6">
        <v>68.322800000000001</v>
      </c>
      <c r="J15" s="6">
        <v>34.999641411812924</v>
      </c>
      <c r="K15" s="5">
        <v>1.9520999999999999</v>
      </c>
      <c r="L15" s="3">
        <v>9</v>
      </c>
      <c r="M15">
        <v>141</v>
      </c>
      <c r="N15">
        <v>124.352</v>
      </c>
      <c r="O15" s="5">
        <v>1.1338999999999999</v>
      </c>
      <c r="P15" s="3">
        <v>86</v>
      </c>
      <c r="Q15">
        <v>188</v>
      </c>
      <c r="R15">
        <v>1126</v>
      </c>
      <c r="S15" s="5">
        <v>0.1669626998223801</v>
      </c>
      <c r="T15" s="5">
        <v>0.23999238151844202</v>
      </c>
      <c r="U15" s="5">
        <v>0.69569999999999999</v>
      </c>
      <c r="V15" s="3">
        <v>192</v>
      </c>
      <c r="W15" s="5">
        <v>1.3852816171440294</v>
      </c>
      <c r="X15" s="3">
        <v>76</v>
      </c>
      <c r="Y15">
        <v>9</v>
      </c>
      <c r="Z15" s="3">
        <v>176</v>
      </c>
      <c r="AA15">
        <v>2</v>
      </c>
      <c r="AB15">
        <v>229</v>
      </c>
      <c r="AC15" s="5">
        <v>8.7336244541484712E-3</v>
      </c>
      <c r="AD15" s="5">
        <v>0.1</v>
      </c>
      <c r="AE15" s="5">
        <v>8.7300000000000003E-2</v>
      </c>
      <c r="AF15" s="3">
        <v>342</v>
      </c>
      <c r="AG15" s="5">
        <v>0.50678699999999999</v>
      </c>
      <c r="AH15" s="5">
        <v>0.4</v>
      </c>
      <c r="AI15" s="5">
        <v>1.2669999999999999</v>
      </c>
      <c r="AJ15" s="3">
        <v>17</v>
      </c>
      <c r="AK15">
        <v>30</v>
      </c>
      <c r="AL15">
        <v>41</v>
      </c>
      <c r="AM15" s="5">
        <v>0.73170731707317072</v>
      </c>
      <c r="AN15" s="5">
        <v>0.8</v>
      </c>
      <c r="AO15" s="5">
        <v>0.91459999999999997</v>
      </c>
      <c r="AP15" s="3">
        <v>216</v>
      </c>
    </row>
    <row r="16" spans="1:42">
      <c r="A16" s="4" t="str">
        <f>_xlfn.XLOOKUP(Table1[[#This Row],[SAP]],'Location List'!B:B,'Location List'!G:G)</f>
        <v>SA SOUTH</v>
      </c>
      <c r="B16" s="4" t="str">
        <f>LEFT(Table1[[#This Row],[Sap: Loaction]],4)</f>
        <v>1DSZ</v>
      </c>
      <c r="C16" t="s">
        <v>505</v>
      </c>
      <c r="D16" t="s">
        <v>522</v>
      </c>
      <c r="E16" s="3">
        <v>2</v>
      </c>
      <c r="F16" s="3">
        <v>113</v>
      </c>
      <c r="G16">
        <v>150.25</v>
      </c>
      <c r="H16" t="s">
        <v>470</v>
      </c>
      <c r="I16" s="6">
        <v>44.7042</v>
      </c>
      <c r="J16" s="6">
        <v>34.998982228137471</v>
      </c>
      <c r="K16" s="5">
        <v>1.2773000000000001</v>
      </c>
      <c r="L16" s="3">
        <v>68</v>
      </c>
      <c r="M16">
        <v>102</v>
      </c>
      <c r="N16">
        <v>135.74700000000001</v>
      </c>
      <c r="O16" s="5">
        <v>0.75139999999999996</v>
      </c>
      <c r="P16" s="3">
        <v>267</v>
      </c>
      <c r="Q16">
        <v>183</v>
      </c>
      <c r="R16">
        <v>1017</v>
      </c>
      <c r="S16" s="5">
        <v>0.17994100294985252</v>
      </c>
      <c r="T16" s="5">
        <v>0.23998533335536479</v>
      </c>
      <c r="U16" s="5">
        <v>0.74980000000000002</v>
      </c>
      <c r="V16" s="3">
        <v>154</v>
      </c>
      <c r="W16" s="5">
        <v>1.2259844901981143</v>
      </c>
      <c r="X16" s="3">
        <v>133</v>
      </c>
      <c r="Y16">
        <v>9.3571000000000009</v>
      </c>
      <c r="Z16" s="3">
        <v>91</v>
      </c>
      <c r="AA16">
        <v>14</v>
      </c>
      <c r="AB16">
        <v>119</v>
      </c>
      <c r="AC16" s="5">
        <v>0.11764705882352941</v>
      </c>
      <c r="AD16" s="5">
        <v>0.1</v>
      </c>
      <c r="AE16" s="5">
        <v>1.1765000000000001</v>
      </c>
      <c r="AF16" s="3">
        <v>84</v>
      </c>
      <c r="AG16" s="5">
        <v>0.33848100000000003</v>
      </c>
      <c r="AH16" s="5">
        <v>0.4</v>
      </c>
      <c r="AI16" s="5">
        <v>0.84619999999999995</v>
      </c>
      <c r="AJ16" s="3">
        <v>124</v>
      </c>
      <c r="AK16">
        <v>23</v>
      </c>
      <c r="AL16">
        <v>38</v>
      </c>
      <c r="AM16" s="5">
        <v>0.60526315789473684</v>
      </c>
      <c r="AN16" s="5">
        <v>0.8</v>
      </c>
      <c r="AO16" s="5">
        <v>0.75660000000000005</v>
      </c>
      <c r="AP16" s="3">
        <v>295</v>
      </c>
    </row>
    <row r="17" spans="1:42">
      <c r="A17" s="4" t="str">
        <f>_xlfn.XLOOKUP(Table1[[#This Row],[SAP]],'Location List'!B:B,'Location List'!G:G)</f>
        <v>SOUTH TX/RGV</v>
      </c>
      <c r="B17" s="4" t="str">
        <f>LEFT(Table1[[#This Row],[Sap: Loaction]],4)</f>
        <v>5332</v>
      </c>
      <c r="C17" t="s">
        <v>505</v>
      </c>
      <c r="D17" t="s">
        <v>582</v>
      </c>
      <c r="E17" s="3">
        <v>2</v>
      </c>
      <c r="F17" s="3">
        <v>115</v>
      </c>
      <c r="G17">
        <v>150.5</v>
      </c>
      <c r="H17" t="s">
        <v>470</v>
      </c>
      <c r="I17" s="6">
        <v>43.874299999999998</v>
      </c>
      <c r="J17" s="6">
        <v>34.998643905552008</v>
      </c>
      <c r="K17" s="5">
        <v>1.2536</v>
      </c>
      <c r="L17" s="3">
        <v>76</v>
      </c>
      <c r="M17">
        <v>129</v>
      </c>
      <c r="N17">
        <v>156.63200000000001</v>
      </c>
      <c r="O17" s="5">
        <v>0.8236</v>
      </c>
      <c r="P17" s="3">
        <v>227</v>
      </c>
      <c r="Q17">
        <v>187</v>
      </c>
      <c r="R17">
        <v>967</v>
      </c>
      <c r="S17" s="5">
        <v>0.19338159255429163</v>
      </c>
      <c r="T17" s="5">
        <v>0.23998708433146146</v>
      </c>
      <c r="U17" s="5">
        <v>0.80579999999999996</v>
      </c>
      <c r="V17" s="3">
        <v>117</v>
      </c>
      <c r="W17" s="5">
        <v>0.97052134207779917</v>
      </c>
      <c r="X17" s="3">
        <v>234</v>
      </c>
      <c r="Y17">
        <v>9.0714000000000006</v>
      </c>
      <c r="Z17" s="3">
        <v>160</v>
      </c>
      <c r="AA17">
        <v>18</v>
      </c>
      <c r="AB17">
        <v>178</v>
      </c>
      <c r="AC17" s="5">
        <v>0.10112359550561797</v>
      </c>
      <c r="AD17" s="5">
        <v>0.1</v>
      </c>
      <c r="AE17" s="5">
        <v>1.0112000000000001</v>
      </c>
      <c r="AF17" s="3">
        <v>110</v>
      </c>
      <c r="AG17" s="5">
        <v>0.37912899999999999</v>
      </c>
      <c r="AH17" s="5">
        <v>0.4</v>
      </c>
      <c r="AI17" s="5">
        <v>0.94779999999999998</v>
      </c>
      <c r="AJ17" s="3">
        <v>76</v>
      </c>
      <c r="AK17">
        <v>24</v>
      </c>
      <c r="AL17">
        <v>34</v>
      </c>
      <c r="AM17" s="5">
        <v>0.70588235294117652</v>
      </c>
      <c r="AN17" s="5">
        <v>0.8</v>
      </c>
      <c r="AO17" s="5">
        <v>0.88239999999999996</v>
      </c>
      <c r="AP17" s="3">
        <v>240</v>
      </c>
    </row>
    <row r="18" spans="1:42">
      <c r="A18" s="4" t="str">
        <f>_xlfn.XLOOKUP(Table1[[#This Row],[SAP]],'Location List'!B:B,'Location List'!G:G)</f>
        <v>KS/OK</v>
      </c>
      <c r="B18" s="4" t="str">
        <f>LEFT(Table1[[#This Row],[Sap: Loaction]],4)</f>
        <v>990F</v>
      </c>
      <c r="C18" t="s">
        <v>505</v>
      </c>
      <c r="D18" t="s">
        <v>541</v>
      </c>
      <c r="E18" s="3">
        <v>2</v>
      </c>
      <c r="F18" s="3">
        <v>118</v>
      </c>
      <c r="G18">
        <v>151.55000000000001</v>
      </c>
      <c r="H18" t="s">
        <v>470</v>
      </c>
      <c r="I18" s="6">
        <v>40.654200000000003</v>
      </c>
      <c r="J18" s="6">
        <v>39.998229043683594</v>
      </c>
      <c r="K18" s="5">
        <v>1.0164</v>
      </c>
      <c r="L18" s="3">
        <v>167</v>
      </c>
      <c r="M18">
        <v>206</v>
      </c>
      <c r="N18">
        <v>251.553</v>
      </c>
      <c r="O18" s="5">
        <v>0.81889999999999996</v>
      </c>
      <c r="P18" s="3">
        <v>229</v>
      </c>
      <c r="Q18">
        <v>294</v>
      </c>
      <c r="R18">
        <v>1331</v>
      </c>
      <c r="S18" s="5">
        <v>0.22088655146506386</v>
      </c>
      <c r="T18" s="5">
        <v>0.23998973431667087</v>
      </c>
      <c r="U18" s="5">
        <v>0.9204</v>
      </c>
      <c r="V18" s="3">
        <v>67</v>
      </c>
      <c r="W18" s="5">
        <v>1.2880583625063873</v>
      </c>
      <c r="X18" s="3">
        <v>108</v>
      </c>
      <c r="Y18">
        <v>8.5897000000000006</v>
      </c>
      <c r="Z18" s="3">
        <v>271</v>
      </c>
      <c r="AA18">
        <v>16</v>
      </c>
      <c r="AB18">
        <v>165</v>
      </c>
      <c r="AC18" s="5">
        <v>9.696969696969697E-2</v>
      </c>
      <c r="AD18" s="5">
        <v>0.1</v>
      </c>
      <c r="AE18" s="5">
        <v>0.96970000000000001</v>
      </c>
      <c r="AF18" s="3">
        <v>116</v>
      </c>
      <c r="AG18" s="5">
        <v>0.2751763333333333</v>
      </c>
      <c r="AH18" s="5">
        <v>0.4</v>
      </c>
      <c r="AI18" s="5">
        <v>0.68789999999999996</v>
      </c>
      <c r="AJ18" s="3">
        <v>217</v>
      </c>
      <c r="AK18">
        <v>35</v>
      </c>
      <c r="AL18">
        <v>38</v>
      </c>
      <c r="AM18" s="5">
        <v>0.92105263157894735</v>
      </c>
      <c r="AN18" s="5">
        <v>0.8</v>
      </c>
      <c r="AO18" s="5">
        <v>1.1513</v>
      </c>
      <c r="AP18" s="3">
        <v>51</v>
      </c>
    </row>
    <row r="19" spans="1:42">
      <c r="A19" s="4" t="str">
        <f>_xlfn.XLOOKUP(Table1[[#This Row],[SAP]],'Location List'!B:B,'Location List'!G:G)</f>
        <v>DFW EAST</v>
      </c>
      <c r="B19" s="4" t="str">
        <f>LEFT(Table1[[#This Row],[Sap: Loaction]],4)</f>
        <v>5784</v>
      </c>
      <c r="C19" t="s">
        <v>505</v>
      </c>
      <c r="D19" t="s">
        <v>560</v>
      </c>
      <c r="E19" s="3">
        <v>2</v>
      </c>
      <c r="F19" s="3">
        <v>125</v>
      </c>
      <c r="G19">
        <v>152.80000000000001</v>
      </c>
      <c r="H19" t="s">
        <v>470</v>
      </c>
      <c r="I19" s="6">
        <v>43.4816</v>
      </c>
      <c r="J19" s="6">
        <v>40.001471941122354</v>
      </c>
      <c r="K19" s="5">
        <v>1.087</v>
      </c>
      <c r="L19" s="3">
        <v>141</v>
      </c>
      <c r="M19">
        <v>174</v>
      </c>
      <c r="N19">
        <v>173.71799999999999</v>
      </c>
      <c r="O19" s="5">
        <v>1.0016</v>
      </c>
      <c r="P19" s="3">
        <v>146</v>
      </c>
      <c r="Q19">
        <v>274</v>
      </c>
      <c r="R19">
        <v>1695</v>
      </c>
      <c r="S19" s="5">
        <v>0.16165191740412979</v>
      </c>
      <c r="T19" s="5">
        <v>0.2400176947351593</v>
      </c>
      <c r="U19" s="5">
        <v>0.67349999999999999</v>
      </c>
      <c r="V19" s="3">
        <v>217</v>
      </c>
      <c r="W19" s="5">
        <v>1.0387656930682732</v>
      </c>
      <c r="X19" s="3">
        <v>208</v>
      </c>
      <c r="Y19">
        <v>9.2972999999999999</v>
      </c>
      <c r="Z19" s="3">
        <v>101</v>
      </c>
      <c r="AA19">
        <v>22</v>
      </c>
      <c r="AB19">
        <v>245</v>
      </c>
      <c r="AC19" s="5">
        <v>8.9795918367346933E-2</v>
      </c>
      <c r="AD19" s="5">
        <v>0.1</v>
      </c>
      <c r="AE19" s="5">
        <v>0.89800000000000002</v>
      </c>
      <c r="AF19" s="3">
        <v>130</v>
      </c>
      <c r="AG19" s="5">
        <v>0.33755299999999999</v>
      </c>
      <c r="AH19" s="5">
        <v>0.4</v>
      </c>
      <c r="AI19" s="5">
        <v>0.84389999999999998</v>
      </c>
      <c r="AJ19" s="3">
        <v>125</v>
      </c>
      <c r="AK19">
        <v>47</v>
      </c>
      <c r="AL19">
        <v>58</v>
      </c>
      <c r="AM19" s="5">
        <v>0.81034482758620685</v>
      </c>
      <c r="AN19" s="5">
        <v>0.8</v>
      </c>
      <c r="AO19" s="5">
        <v>1.0128999999999999</v>
      </c>
      <c r="AP19" s="3">
        <v>143</v>
      </c>
    </row>
    <row r="20" spans="1:42">
      <c r="A20" s="4" t="str">
        <f>_xlfn.XLOOKUP(Table1[[#This Row],[SAP]],'Location List'!B:B,'Location List'!G:G)</f>
        <v>KS/OK</v>
      </c>
      <c r="B20" s="4" t="str">
        <f>LEFT(Table1[[#This Row],[Sap: Loaction]],4)</f>
        <v>4DSC</v>
      </c>
      <c r="C20" t="s">
        <v>505</v>
      </c>
      <c r="D20" t="s">
        <v>547</v>
      </c>
      <c r="E20" s="3">
        <v>2</v>
      </c>
      <c r="F20" s="3">
        <v>128</v>
      </c>
      <c r="G20">
        <v>153.35</v>
      </c>
      <c r="H20" t="s">
        <v>470</v>
      </c>
      <c r="I20" s="6">
        <v>40.926699999999997</v>
      </c>
      <c r="J20" s="6">
        <v>35.001026255024371</v>
      </c>
      <c r="K20" s="5">
        <v>1.1693</v>
      </c>
      <c r="L20" s="3">
        <v>107</v>
      </c>
      <c r="M20">
        <v>155</v>
      </c>
      <c r="N20">
        <v>118.658</v>
      </c>
      <c r="O20" s="5">
        <v>1.3063</v>
      </c>
      <c r="P20" s="3">
        <v>41</v>
      </c>
      <c r="Q20">
        <v>218</v>
      </c>
      <c r="R20">
        <v>1315</v>
      </c>
      <c r="S20" s="5">
        <v>0.16577946768060836</v>
      </c>
      <c r="T20" s="5">
        <v>0.24001660298336233</v>
      </c>
      <c r="U20" s="5">
        <v>0.69069999999999998</v>
      </c>
      <c r="V20" s="3">
        <v>198</v>
      </c>
      <c r="W20" s="5">
        <v>1.1809879001636938</v>
      </c>
      <c r="X20" s="3">
        <v>153</v>
      </c>
      <c r="Y20">
        <v>8.6875</v>
      </c>
      <c r="Z20" s="3">
        <v>250</v>
      </c>
      <c r="AA20">
        <v>9</v>
      </c>
      <c r="AB20">
        <v>252</v>
      </c>
      <c r="AC20" s="5">
        <v>3.5714285714285712E-2</v>
      </c>
      <c r="AD20" s="5">
        <v>0.1</v>
      </c>
      <c r="AE20" s="5">
        <v>0.35709999999999997</v>
      </c>
      <c r="AF20" s="3">
        <v>277</v>
      </c>
      <c r="AG20" s="5">
        <v>0.40591899999999997</v>
      </c>
      <c r="AH20" s="5">
        <v>0.4</v>
      </c>
      <c r="AI20" s="5">
        <v>1.0147999999999999</v>
      </c>
      <c r="AJ20" s="3">
        <v>55</v>
      </c>
      <c r="AK20">
        <v>43</v>
      </c>
      <c r="AL20">
        <v>53</v>
      </c>
      <c r="AM20" s="5">
        <v>0.81132075471698117</v>
      </c>
      <c r="AN20" s="5">
        <v>0.8</v>
      </c>
      <c r="AO20" s="5">
        <v>1.0142</v>
      </c>
      <c r="AP20" s="3">
        <v>141</v>
      </c>
    </row>
    <row r="21" spans="1:42">
      <c r="A21" s="4" t="str">
        <f>_xlfn.XLOOKUP(Table1[[#This Row],[SAP]],'Location List'!B:B,'Location List'!G:G)</f>
        <v>DFW EAST</v>
      </c>
      <c r="B21" s="4" t="str">
        <f>LEFT(Table1[[#This Row],[Sap: Loaction]],4)</f>
        <v>875E</v>
      </c>
      <c r="C21" t="s">
        <v>505</v>
      </c>
      <c r="D21" t="s">
        <v>521</v>
      </c>
      <c r="E21" s="3">
        <v>2</v>
      </c>
      <c r="F21" s="3">
        <v>129</v>
      </c>
      <c r="G21">
        <v>153.44999999999999</v>
      </c>
      <c r="H21" t="s">
        <v>470</v>
      </c>
      <c r="I21" s="6">
        <v>21.063700000000001</v>
      </c>
      <c r="J21" s="6">
        <v>35.001163177135261</v>
      </c>
      <c r="K21" s="5">
        <v>0.6018</v>
      </c>
      <c r="L21" s="3">
        <v>337</v>
      </c>
      <c r="M21">
        <v>145</v>
      </c>
      <c r="N21">
        <v>154.72800000000001</v>
      </c>
      <c r="O21" s="5">
        <v>0.93710000000000004</v>
      </c>
      <c r="P21" s="3">
        <v>173</v>
      </c>
      <c r="Q21">
        <v>250</v>
      </c>
      <c r="R21">
        <v>1115</v>
      </c>
      <c r="S21" s="5">
        <v>0.22421524663677131</v>
      </c>
      <c r="T21" s="5">
        <v>0.24000775705070787</v>
      </c>
      <c r="U21" s="5">
        <v>0.93420000000000003</v>
      </c>
      <c r="V21" s="3">
        <v>62</v>
      </c>
      <c r="W21" s="5">
        <v>1.331621120416951</v>
      </c>
      <c r="X21" s="3">
        <v>97</v>
      </c>
      <c r="Y21">
        <v>7.8788</v>
      </c>
      <c r="Z21" s="3">
        <v>327</v>
      </c>
      <c r="AA21">
        <v>42</v>
      </c>
      <c r="AB21">
        <v>229</v>
      </c>
      <c r="AC21" s="5">
        <v>0.18340611353711792</v>
      </c>
      <c r="AD21" s="5">
        <v>0.1</v>
      </c>
      <c r="AE21" s="5">
        <v>1.8341000000000001</v>
      </c>
      <c r="AF21" s="3">
        <v>31</v>
      </c>
      <c r="AG21" s="5">
        <v>0.36716100000000002</v>
      </c>
      <c r="AH21" s="5">
        <v>0.4</v>
      </c>
      <c r="AI21" s="5">
        <v>0.91790000000000005</v>
      </c>
      <c r="AJ21" s="3">
        <v>96</v>
      </c>
      <c r="AK21">
        <v>52</v>
      </c>
      <c r="AL21">
        <v>62</v>
      </c>
      <c r="AM21" s="5">
        <v>0.83870967741935487</v>
      </c>
      <c r="AN21" s="5">
        <v>0.8</v>
      </c>
      <c r="AO21" s="5">
        <v>1.0484</v>
      </c>
      <c r="AP21" s="3">
        <v>110</v>
      </c>
    </row>
    <row r="22" spans="1:42">
      <c r="A22" s="4" t="str">
        <f>_xlfn.XLOOKUP(Table1[[#This Row],[SAP]],'Location List'!B:B,'Location List'!G:G)</f>
        <v>SA/HILL COUNTRY</v>
      </c>
      <c r="B22" s="4" t="str">
        <f>LEFT(Table1[[#This Row],[Sap: Loaction]],4)</f>
        <v>1DSW</v>
      </c>
      <c r="C22" t="s">
        <v>505</v>
      </c>
      <c r="D22" t="s">
        <v>518</v>
      </c>
      <c r="E22" s="3">
        <v>2</v>
      </c>
      <c r="F22" s="3">
        <v>132</v>
      </c>
      <c r="G22">
        <v>154.25</v>
      </c>
      <c r="H22" t="s">
        <v>470</v>
      </c>
      <c r="I22" s="6">
        <v>36.079900000000002</v>
      </c>
      <c r="J22" s="6">
        <v>39.999889135254989</v>
      </c>
      <c r="K22" s="5">
        <v>0.90200000000000002</v>
      </c>
      <c r="L22" s="3">
        <v>229</v>
      </c>
      <c r="M22">
        <v>166</v>
      </c>
      <c r="N22">
        <v>148.084</v>
      </c>
      <c r="O22" s="5">
        <v>1.121</v>
      </c>
      <c r="P22" s="3">
        <v>89</v>
      </c>
      <c r="Q22">
        <v>235</v>
      </c>
      <c r="R22">
        <v>1461</v>
      </c>
      <c r="S22" s="5">
        <v>0.16084873374401096</v>
      </c>
      <c r="T22" s="5">
        <v>0.24000109481350484</v>
      </c>
      <c r="U22" s="5">
        <v>0.67020000000000002</v>
      </c>
      <c r="V22" s="3">
        <v>220</v>
      </c>
      <c r="W22" s="5">
        <v>1.6229012494752506</v>
      </c>
      <c r="X22" s="3">
        <v>27</v>
      </c>
      <c r="Y22">
        <v>9.1224000000000007</v>
      </c>
      <c r="Z22" s="3">
        <v>145</v>
      </c>
      <c r="AA22">
        <v>19</v>
      </c>
      <c r="AB22">
        <v>152</v>
      </c>
      <c r="AC22" s="5">
        <v>0.125</v>
      </c>
      <c r="AD22" s="5">
        <v>0.1</v>
      </c>
      <c r="AE22" s="5">
        <v>1.25</v>
      </c>
      <c r="AF22" s="3">
        <v>73</v>
      </c>
      <c r="AG22" s="5">
        <v>0.314081</v>
      </c>
      <c r="AH22" s="5">
        <v>0.4</v>
      </c>
      <c r="AI22" s="5">
        <v>0.78520000000000001</v>
      </c>
      <c r="AJ22" s="3">
        <v>167</v>
      </c>
      <c r="AK22">
        <v>27</v>
      </c>
      <c r="AL22">
        <v>43</v>
      </c>
      <c r="AM22" s="5">
        <v>0.62790697674418605</v>
      </c>
      <c r="AN22" s="5">
        <v>0.8</v>
      </c>
      <c r="AO22" s="5">
        <v>0.78490000000000004</v>
      </c>
      <c r="AP22" s="3">
        <v>287</v>
      </c>
    </row>
    <row r="23" spans="1:42">
      <c r="A23" s="4" t="str">
        <f>_xlfn.XLOOKUP(Table1[[#This Row],[SAP]],'Location List'!B:B,'Location List'!G:G)</f>
        <v>CENTRAL TEXAS</v>
      </c>
      <c r="B23" s="4" t="str">
        <f>LEFT(Table1[[#This Row],[Sap: Loaction]],4)</f>
        <v>1FSM</v>
      </c>
      <c r="C23" t="s">
        <v>505</v>
      </c>
      <c r="D23" t="s">
        <v>523</v>
      </c>
      <c r="E23" s="3">
        <v>2</v>
      </c>
      <c r="F23" s="3">
        <v>133</v>
      </c>
      <c r="G23">
        <v>154.35</v>
      </c>
      <c r="H23" t="s">
        <v>470</v>
      </c>
      <c r="I23" s="6">
        <v>29.575299999999999</v>
      </c>
      <c r="J23" s="6">
        <v>35.000355029585798</v>
      </c>
      <c r="K23" s="5">
        <v>0.84499999999999997</v>
      </c>
      <c r="L23" s="3">
        <v>257</v>
      </c>
      <c r="M23">
        <v>126</v>
      </c>
      <c r="N23">
        <v>151.87899999999999</v>
      </c>
      <c r="O23" s="5">
        <v>0.8296</v>
      </c>
      <c r="P23" s="3">
        <v>222</v>
      </c>
      <c r="Q23">
        <v>204</v>
      </c>
      <c r="R23">
        <v>1309</v>
      </c>
      <c r="S23" s="5">
        <v>0.15584415584415584</v>
      </c>
      <c r="T23" s="5">
        <v>0.23998176138613467</v>
      </c>
      <c r="U23" s="5">
        <v>0.64939999999999998</v>
      </c>
      <c r="V23" s="3">
        <v>239</v>
      </c>
      <c r="W23" s="5">
        <v>1.2501264323693104</v>
      </c>
      <c r="X23" s="3">
        <v>126</v>
      </c>
      <c r="Y23">
        <v>9.0832999999999995</v>
      </c>
      <c r="Z23" s="3">
        <v>157</v>
      </c>
      <c r="AA23">
        <v>50</v>
      </c>
      <c r="AB23">
        <v>191</v>
      </c>
      <c r="AC23" s="5">
        <v>0.26178010471204188</v>
      </c>
      <c r="AD23" s="5">
        <v>0.1</v>
      </c>
      <c r="AE23" s="5">
        <v>2.6177999999999999</v>
      </c>
      <c r="AF23" s="3">
        <v>11</v>
      </c>
      <c r="AG23" s="5">
        <v>0.34003933333333336</v>
      </c>
      <c r="AH23" s="5">
        <v>0.4</v>
      </c>
      <c r="AI23" s="5">
        <v>0.85009999999999997</v>
      </c>
      <c r="AJ23" s="3">
        <v>122</v>
      </c>
      <c r="AK23">
        <v>55</v>
      </c>
      <c r="AL23">
        <v>59</v>
      </c>
      <c r="AM23" s="5">
        <v>0.93220338983050843</v>
      </c>
      <c r="AN23" s="5">
        <v>0.8</v>
      </c>
      <c r="AO23" s="5">
        <v>1.1653</v>
      </c>
      <c r="AP23" s="3">
        <v>45</v>
      </c>
    </row>
    <row r="24" spans="1:42">
      <c r="A24" s="4" t="str">
        <f>_xlfn.XLOOKUP(Table1[[#This Row],[SAP]],'Location List'!B:B,'Location List'!G:G)</f>
        <v>SA SOUTH</v>
      </c>
      <c r="B24" s="4" t="str">
        <f>LEFT(Table1[[#This Row],[Sap: Loaction]],4)</f>
        <v>4723</v>
      </c>
      <c r="C24" t="s">
        <v>505</v>
      </c>
      <c r="D24" t="s">
        <v>553</v>
      </c>
      <c r="E24" s="3">
        <v>2</v>
      </c>
      <c r="F24" s="3">
        <v>135</v>
      </c>
      <c r="G24">
        <v>155.15</v>
      </c>
      <c r="H24" t="s">
        <v>470</v>
      </c>
      <c r="I24" s="6">
        <v>36.330100000000002</v>
      </c>
      <c r="J24" s="6">
        <v>39.997908180116703</v>
      </c>
      <c r="K24" s="5">
        <v>0.9083</v>
      </c>
      <c r="L24" s="3">
        <v>225</v>
      </c>
      <c r="M24">
        <v>200</v>
      </c>
      <c r="N24">
        <v>200.29400000000001</v>
      </c>
      <c r="O24" s="5">
        <v>0.99850000000000005</v>
      </c>
      <c r="P24" s="3">
        <v>148</v>
      </c>
      <c r="Q24">
        <v>289</v>
      </c>
      <c r="R24">
        <v>1255</v>
      </c>
      <c r="S24" s="5">
        <v>0.23027888446215139</v>
      </c>
      <c r="T24" s="5">
        <v>0.2399988373758743</v>
      </c>
      <c r="U24" s="5">
        <v>0.95950000000000002</v>
      </c>
      <c r="V24" s="3">
        <v>53</v>
      </c>
      <c r="W24" s="5">
        <v>0.98301675629335206</v>
      </c>
      <c r="X24" s="3">
        <v>229</v>
      </c>
      <c r="Y24">
        <v>9.3429000000000002</v>
      </c>
      <c r="Z24" s="3">
        <v>95</v>
      </c>
      <c r="AA24">
        <v>21</v>
      </c>
      <c r="AB24">
        <v>194</v>
      </c>
      <c r="AC24" s="5">
        <v>0.10824742268041238</v>
      </c>
      <c r="AD24" s="5">
        <v>0.1</v>
      </c>
      <c r="AE24" s="5">
        <v>1.0825</v>
      </c>
      <c r="AF24" s="3">
        <v>97</v>
      </c>
      <c r="AG24" s="5">
        <v>0.27737200000000001</v>
      </c>
      <c r="AH24" s="5">
        <v>0.4</v>
      </c>
      <c r="AI24" s="5">
        <v>0.69340000000000002</v>
      </c>
      <c r="AJ24" s="3">
        <v>212</v>
      </c>
      <c r="AK24">
        <v>33</v>
      </c>
      <c r="AL24">
        <v>46</v>
      </c>
      <c r="AM24" s="5">
        <v>0.71739130434782605</v>
      </c>
      <c r="AN24" s="5">
        <v>0.8</v>
      </c>
      <c r="AO24" s="5">
        <v>0.89670000000000005</v>
      </c>
      <c r="AP24" s="3">
        <v>231</v>
      </c>
    </row>
    <row r="25" spans="1:42">
      <c r="A25" s="4" t="str">
        <f>_xlfn.XLOOKUP(Table1[[#This Row],[SAP]],'Location List'!B:B,'Location List'!G:G)</f>
        <v>CENTRAL TEXAS</v>
      </c>
      <c r="B25" s="4" t="str">
        <f>LEFT(Table1[[#This Row],[Sap: Loaction]],4)</f>
        <v>1DSU</v>
      </c>
      <c r="C25" t="s">
        <v>505</v>
      </c>
      <c r="D25" t="s">
        <v>524</v>
      </c>
      <c r="E25" s="3">
        <v>2</v>
      </c>
      <c r="F25" s="3">
        <v>137</v>
      </c>
      <c r="G25">
        <v>155.94999999999999</v>
      </c>
      <c r="H25" t="s">
        <v>470</v>
      </c>
      <c r="I25" s="6">
        <v>38.884</v>
      </c>
      <c r="J25" s="6">
        <v>40</v>
      </c>
      <c r="K25" s="5">
        <v>0.97209999999999996</v>
      </c>
      <c r="L25" s="3">
        <v>188</v>
      </c>
      <c r="M25">
        <v>151</v>
      </c>
      <c r="N25">
        <v>128.15100000000001</v>
      </c>
      <c r="O25" s="5">
        <v>1.1782999999999999</v>
      </c>
      <c r="P25" s="3">
        <v>71</v>
      </c>
      <c r="Q25">
        <v>232</v>
      </c>
      <c r="R25">
        <v>1149</v>
      </c>
      <c r="S25" s="5">
        <v>0.20191470844212359</v>
      </c>
      <c r="T25" s="5">
        <v>0.24000321935352856</v>
      </c>
      <c r="U25" s="5">
        <v>0.84130000000000005</v>
      </c>
      <c r="V25" s="3">
        <v>102</v>
      </c>
      <c r="W25" s="5">
        <v>1.0298971934231267</v>
      </c>
      <c r="X25" s="3">
        <v>213</v>
      </c>
      <c r="Y25">
        <v>9.2592999999999996</v>
      </c>
      <c r="Z25" s="3">
        <v>113</v>
      </c>
      <c r="AA25">
        <v>18</v>
      </c>
      <c r="AB25">
        <v>173</v>
      </c>
      <c r="AC25" s="5">
        <v>0.10404624277456648</v>
      </c>
      <c r="AD25" s="5">
        <v>0.1</v>
      </c>
      <c r="AE25" s="5">
        <v>1.0405</v>
      </c>
      <c r="AF25" s="3">
        <v>106</v>
      </c>
      <c r="AG25" s="5">
        <v>0.24148533333333333</v>
      </c>
      <c r="AH25" s="5">
        <v>0.4</v>
      </c>
      <c r="AI25" s="5">
        <v>0.60370000000000001</v>
      </c>
      <c r="AJ25" s="3">
        <v>253</v>
      </c>
      <c r="AK25">
        <v>28</v>
      </c>
      <c r="AL25">
        <v>44</v>
      </c>
      <c r="AM25" s="5">
        <v>0.63636363636363635</v>
      </c>
      <c r="AN25" s="5">
        <v>0.8</v>
      </c>
      <c r="AO25" s="5">
        <v>0.79549999999999998</v>
      </c>
      <c r="AP25" s="3">
        <v>280</v>
      </c>
    </row>
    <row r="26" spans="1:42">
      <c r="A26" s="4" t="str">
        <f>_xlfn.XLOOKUP(Table1[[#This Row],[SAP]],'Location List'!B:B,'Location List'!G:G)</f>
        <v>WEST TEXAS</v>
      </c>
      <c r="B26" s="4" t="str">
        <f>LEFT(Table1[[#This Row],[Sap: Loaction]],4)</f>
        <v>705D</v>
      </c>
      <c r="C26" t="s">
        <v>505</v>
      </c>
      <c r="D26" t="s">
        <v>536</v>
      </c>
      <c r="E26" s="3">
        <v>2</v>
      </c>
      <c r="F26" s="3">
        <v>142</v>
      </c>
      <c r="G26">
        <v>158.6</v>
      </c>
      <c r="H26" t="s">
        <v>470</v>
      </c>
      <c r="I26" s="6">
        <v>77.091499999999996</v>
      </c>
      <c r="J26" s="6">
        <v>39.999740569708919</v>
      </c>
      <c r="K26" s="5">
        <v>1.9273</v>
      </c>
      <c r="L26" s="3">
        <v>10</v>
      </c>
      <c r="M26">
        <v>189</v>
      </c>
      <c r="N26">
        <v>162.322</v>
      </c>
      <c r="O26" s="5">
        <v>1.1644000000000001</v>
      </c>
      <c r="P26" s="3">
        <v>78</v>
      </c>
      <c r="Q26">
        <v>266</v>
      </c>
      <c r="R26">
        <v>1497</v>
      </c>
      <c r="S26" s="5">
        <v>0.17768871075484302</v>
      </c>
      <c r="T26" s="5">
        <v>0.23999015499033366</v>
      </c>
      <c r="U26" s="5">
        <v>0.74039999999999995</v>
      </c>
      <c r="V26" s="3">
        <v>160</v>
      </c>
      <c r="W26" s="5">
        <v>1.4511493735322543</v>
      </c>
      <c r="X26" s="3">
        <v>55</v>
      </c>
      <c r="Y26">
        <v>7.5</v>
      </c>
      <c r="Z26" s="3">
        <v>348</v>
      </c>
      <c r="AA26">
        <v>7</v>
      </c>
      <c r="AB26">
        <v>190</v>
      </c>
      <c r="AC26" s="5">
        <v>3.6842105263157891E-2</v>
      </c>
      <c r="AD26" s="5">
        <v>0.1</v>
      </c>
      <c r="AE26" s="5">
        <v>0.36840000000000001</v>
      </c>
      <c r="AF26" s="3">
        <v>272</v>
      </c>
      <c r="AG26" s="5">
        <v>0.36773033333333333</v>
      </c>
      <c r="AH26" s="5">
        <v>0.4</v>
      </c>
      <c r="AI26" s="5">
        <v>0.91930000000000001</v>
      </c>
      <c r="AJ26" s="3">
        <v>92</v>
      </c>
      <c r="AK26">
        <v>42</v>
      </c>
      <c r="AL26">
        <v>74</v>
      </c>
      <c r="AM26" s="5">
        <v>0.56756756756756754</v>
      </c>
      <c r="AN26" s="5">
        <v>0.8</v>
      </c>
      <c r="AO26" s="5">
        <v>0.70950000000000002</v>
      </c>
      <c r="AP26" s="3">
        <v>311</v>
      </c>
    </row>
    <row r="27" spans="1:42">
      <c r="A27" s="4" t="str">
        <f>_xlfn.XLOOKUP(Table1[[#This Row],[SAP]],'Location List'!B:B,'Location List'!G:G)</f>
        <v>SOUTH TX/RGV</v>
      </c>
      <c r="B27" s="4" t="str">
        <f>LEFT(Table1[[#This Row],[Sap: Loaction]],4)</f>
        <v>374E</v>
      </c>
      <c r="C27" t="s">
        <v>505</v>
      </c>
      <c r="D27" t="s">
        <v>520</v>
      </c>
      <c r="E27" s="3">
        <v>2</v>
      </c>
      <c r="F27" s="3">
        <v>143</v>
      </c>
      <c r="G27">
        <v>159.5</v>
      </c>
      <c r="H27" t="s">
        <v>470</v>
      </c>
      <c r="I27" s="6">
        <v>33.627000000000002</v>
      </c>
      <c r="J27" s="6">
        <v>30.000000000000004</v>
      </c>
      <c r="K27" s="5">
        <v>1.1209</v>
      </c>
      <c r="L27" s="3">
        <v>126</v>
      </c>
      <c r="M27">
        <v>83</v>
      </c>
      <c r="N27">
        <v>89.227000000000004</v>
      </c>
      <c r="O27" s="5">
        <v>0.93020000000000003</v>
      </c>
      <c r="P27" s="3">
        <v>176</v>
      </c>
      <c r="Q27">
        <v>121</v>
      </c>
      <c r="R27">
        <v>742</v>
      </c>
      <c r="S27" s="5">
        <v>0.16307277628032346</v>
      </c>
      <c r="T27" s="5">
        <v>0.23998936906596535</v>
      </c>
      <c r="U27" s="5">
        <v>0.67949999999999999</v>
      </c>
      <c r="V27" s="3">
        <v>210</v>
      </c>
      <c r="W27" s="5">
        <v>1.4075610684592068</v>
      </c>
      <c r="X27" s="3">
        <v>66</v>
      </c>
      <c r="Y27">
        <v>9.0357000000000003</v>
      </c>
      <c r="Z27" s="3">
        <v>167</v>
      </c>
      <c r="AA27">
        <v>12</v>
      </c>
      <c r="AB27">
        <v>131</v>
      </c>
      <c r="AC27" s="5">
        <v>9.1603053435114504E-2</v>
      </c>
      <c r="AD27" s="5">
        <v>0.1</v>
      </c>
      <c r="AE27" s="5">
        <v>0.91600000000000004</v>
      </c>
      <c r="AF27" s="3">
        <v>124</v>
      </c>
      <c r="AG27" s="5">
        <v>0.28667966666666667</v>
      </c>
      <c r="AH27" s="5">
        <v>0.4</v>
      </c>
      <c r="AI27" s="5">
        <v>0.7167</v>
      </c>
      <c r="AJ27" s="3">
        <v>198</v>
      </c>
      <c r="AK27">
        <v>17</v>
      </c>
      <c r="AL27">
        <v>23</v>
      </c>
      <c r="AM27" s="5">
        <v>0.73913043478260865</v>
      </c>
      <c r="AN27" s="5">
        <v>0.8</v>
      </c>
      <c r="AO27" s="5">
        <v>0.92390000000000005</v>
      </c>
      <c r="AP27" s="3">
        <v>210</v>
      </c>
    </row>
    <row r="28" spans="1:42">
      <c r="A28" s="4" t="str">
        <f>_xlfn.XLOOKUP(Table1[[#This Row],[SAP]],'Location List'!B:B,'Location List'!G:G)</f>
        <v>DFW EAST</v>
      </c>
      <c r="B28" s="4" t="str">
        <f>LEFT(Table1[[#This Row],[Sap: Loaction]],4)</f>
        <v>0115</v>
      </c>
      <c r="C28" t="s">
        <v>505</v>
      </c>
      <c r="D28" t="s">
        <v>549</v>
      </c>
      <c r="E28" s="3">
        <v>3</v>
      </c>
      <c r="F28" s="3">
        <v>148</v>
      </c>
      <c r="G28">
        <v>163.1</v>
      </c>
      <c r="H28" t="s">
        <v>470</v>
      </c>
      <c r="I28" s="6">
        <v>49.074300000000001</v>
      </c>
      <c r="J28" s="6">
        <v>39.998614394001137</v>
      </c>
      <c r="K28" s="5">
        <v>1.2269000000000001</v>
      </c>
      <c r="L28" s="3">
        <v>85</v>
      </c>
      <c r="M28">
        <v>299</v>
      </c>
      <c r="N28">
        <v>272.44200000000001</v>
      </c>
      <c r="O28" s="5">
        <v>1.0974999999999999</v>
      </c>
      <c r="P28" s="3">
        <v>97</v>
      </c>
      <c r="Q28">
        <v>373</v>
      </c>
      <c r="R28">
        <v>1842</v>
      </c>
      <c r="S28" s="5">
        <v>0.20249728555917482</v>
      </c>
      <c r="T28" s="5">
        <v>0.24001100575936329</v>
      </c>
      <c r="U28" s="5">
        <v>0.84370000000000001</v>
      </c>
      <c r="V28" s="3">
        <v>99</v>
      </c>
      <c r="W28" s="5">
        <v>1.0891622209077545</v>
      </c>
      <c r="X28" s="3">
        <v>189</v>
      </c>
      <c r="Y28">
        <v>8.85</v>
      </c>
      <c r="Z28" s="3">
        <v>220</v>
      </c>
      <c r="AA28">
        <v>13</v>
      </c>
      <c r="AB28">
        <v>286</v>
      </c>
      <c r="AC28" s="5">
        <v>4.5454545454545456E-2</v>
      </c>
      <c r="AD28" s="5">
        <v>0.1</v>
      </c>
      <c r="AE28" s="5">
        <v>0.45450000000000002</v>
      </c>
      <c r="AF28" s="3">
        <v>245</v>
      </c>
      <c r="AG28" s="5">
        <v>0.15399599999999999</v>
      </c>
      <c r="AH28" s="5">
        <v>0.4</v>
      </c>
      <c r="AI28" s="5">
        <v>0.38500000000000001</v>
      </c>
      <c r="AJ28" s="3">
        <v>342</v>
      </c>
      <c r="AK28">
        <v>60</v>
      </c>
      <c r="AL28">
        <v>70</v>
      </c>
      <c r="AM28" s="5">
        <v>0.8571428571428571</v>
      </c>
      <c r="AN28" s="5">
        <v>0.8</v>
      </c>
      <c r="AO28" s="5">
        <v>1.0713999999999999</v>
      </c>
      <c r="AP28" s="3">
        <v>91</v>
      </c>
    </row>
    <row r="29" spans="1:42">
      <c r="A29" s="4" t="str">
        <f>_xlfn.XLOOKUP(Table1[[#This Row],[SAP]],'Location List'!B:B,'Location List'!G:G)</f>
        <v>SA/HILL COUNTRY</v>
      </c>
      <c r="B29" s="4" t="str">
        <f>LEFT(Table1[[#This Row],[Sap: Loaction]],4)</f>
        <v>569D</v>
      </c>
      <c r="C29" t="s">
        <v>505</v>
      </c>
      <c r="D29" t="s">
        <v>531</v>
      </c>
      <c r="E29" s="3">
        <v>3</v>
      </c>
      <c r="F29" s="3">
        <v>151</v>
      </c>
      <c r="G29">
        <v>164.15</v>
      </c>
      <c r="H29" t="s">
        <v>470</v>
      </c>
      <c r="I29" s="6">
        <v>26.3828</v>
      </c>
      <c r="J29" s="6">
        <v>34.99973467763332</v>
      </c>
      <c r="K29" s="5">
        <v>0.75380000000000003</v>
      </c>
      <c r="L29" s="3">
        <v>304</v>
      </c>
      <c r="M29">
        <v>74</v>
      </c>
      <c r="N29">
        <v>91.131</v>
      </c>
      <c r="O29" s="5">
        <v>0.81200000000000006</v>
      </c>
      <c r="P29" s="3">
        <v>234</v>
      </c>
      <c r="Q29">
        <v>146</v>
      </c>
      <c r="R29">
        <v>944</v>
      </c>
      <c r="S29" s="5">
        <v>0.15466101694915255</v>
      </c>
      <c r="T29" s="5">
        <v>0.24000778545802692</v>
      </c>
      <c r="U29" s="5">
        <v>0.64439999999999997</v>
      </c>
      <c r="V29" s="3">
        <v>243</v>
      </c>
      <c r="W29" s="5">
        <v>1.3327943355247849</v>
      </c>
      <c r="X29" s="3">
        <v>96</v>
      </c>
      <c r="Y29">
        <v>9.0322999999999993</v>
      </c>
      <c r="Z29" s="3">
        <v>169</v>
      </c>
      <c r="AA29">
        <v>28</v>
      </c>
      <c r="AB29">
        <v>213</v>
      </c>
      <c r="AC29" s="5">
        <v>0.13145539906103287</v>
      </c>
      <c r="AD29" s="5">
        <v>0.1</v>
      </c>
      <c r="AE29" s="5">
        <v>1.3146</v>
      </c>
      <c r="AF29" s="3">
        <v>64</v>
      </c>
      <c r="AG29" s="5">
        <v>0.46652266666666664</v>
      </c>
      <c r="AH29" s="5">
        <v>0.4</v>
      </c>
      <c r="AI29" s="5">
        <v>1.1662999999999999</v>
      </c>
      <c r="AJ29" s="3">
        <v>27</v>
      </c>
      <c r="AK29">
        <v>20</v>
      </c>
      <c r="AL29">
        <v>23</v>
      </c>
      <c r="AM29" s="5">
        <v>0.86956521739130432</v>
      </c>
      <c r="AN29" s="5">
        <v>0.8</v>
      </c>
      <c r="AO29" s="5">
        <v>1.087</v>
      </c>
      <c r="AP29" s="3">
        <v>82</v>
      </c>
    </row>
    <row r="30" spans="1:42">
      <c r="A30" s="4" t="str">
        <f>_xlfn.XLOOKUP(Table1[[#This Row],[SAP]],'Location List'!B:B,'Location List'!G:G)</f>
        <v>SA SOUTH</v>
      </c>
      <c r="B30" s="4" t="str">
        <f>LEFT(Table1[[#This Row],[Sap: Loaction]],4)</f>
        <v>1ESL</v>
      </c>
      <c r="C30" t="s">
        <v>505</v>
      </c>
      <c r="D30" t="s">
        <v>537</v>
      </c>
      <c r="E30" s="3">
        <v>3</v>
      </c>
      <c r="F30" s="3">
        <v>154</v>
      </c>
      <c r="G30">
        <v>164.8</v>
      </c>
      <c r="H30" t="s">
        <v>470</v>
      </c>
      <c r="I30" s="6">
        <v>31.195900000000002</v>
      </c>
      <c r="J30" s="6">
        <v>35.00044878267699</v>
      </c>
      <c r="K30" s="5">
        <v>0.89129999999999998</v>
      </c>
      <c r="L30" s="3">
        <v>235</v>
      </c>
      <c r="M30">
        <v>142</v>
      </c>
      <c r="N30">
        <v>148.084</v>
      </c>
      <c r="O30" s="5">
        <v>0.95889999999999997</v>
      </c>
      <c r="P30" s="3">
        <v>161</v>
      </c>
      <c r="Q30">
        <v>205</v>
      </c>
      <c r="R30">
        <v>1347</v>
      </c>
      <c r="S30" s="5">
        <v>0.15219005196733482</v>
      </c>
      <c r="T30" s="5">
        <v>0.18000006146343561</v>
      </c>
      <c r="U30" s="5">
        <v>0.84550000000000003</v>
      </c>
      <c r="V30" s="3">
        <v>98</v>
      </c>
      <c r="W30" s="5">
        <v>1.4561457051229272</v>
      </c>
      <c r="X30" s="3">
        <v>54</v>
      </c>
      <c r="Y30">
        <v>9.5500000000000007</v>
      </c>
      <c r="Z30" s="3">
        <v>51</v>
      </c>
      <c r="AA30">
        <v>9</v>
      </c>
      <c r="AB30">
        <v>85</v>
      </c>
      <c r="AC30" s="5">
        <v>0.10588235294117647</v>
      </c>
      <c r="AD30" s="5">
        <v>0.1</v>
      </c>
      <c r="AE30" s="5">
        <v>1.0588</v>
      </c>
      <c r="AF30" s="3">
        <v>102</v>
      </c>
      <c r="AG30" s="5">
        <v>0.21291033333333334</v>
      </c>
      <c r="AH30" s="5">
        <v>0.4</v>
      </c>
      <c r="AI30" s="5">
        <v>0.5323</v>
      </c>
      <c r="AJ30" s="3">
        <v>294</v>
      </c>
      <c r="AK30">
        <v>12</v>
      </c>
      <c r="AL30">
        <v>48</v>
      </c>
      <c r="AM30" s="5">
        <v>0.25</v>
      </c>
      <c r="AN30" s="5">
        <v>0.8</v>
      </c>
      <c r="AO30" s="5">
        <v>0.3125</v>
      </c>
      <c r="AP30" s="3">
        <v>355</v>
      </c>
    </row>
    <row r="31" spans="1:42">
      <c r="A31" s="4" t="str">
        <f>_xlfn.XLOOKUP(Table1[[#This Row],[SAP]],'Location List'!B:B,'Location List'!G:G)</f>
        <v>SA SOUTH</v>
      </c>
      <c r="B31" s="4" t="str">
        <f>LEFT(Table1[[#This Row],[Sap: Loaction]],4)</f>
        <v>221D</v>
      </c>
      <c r="C31" t="s">
        <v>505</v>
      </c>
      <c r="D31" t="s">
        <v>540</v>
      </c>
      <c r="E31" s="3">
        <v>3</v>
      </c>
      <c r="F31" s="3">
        <v>158</v>
      </c>
      <c r="G31">
        <v>166.4</v>
      </c>
      <c r="H31" t="s">
        <v>470</v>
      </c>
      <c r="I31" s="6">
        <v>52.837699999999998</v>
      </c>
      <c r="J31" s="6">
        <v>40.001287001287004</v>
      </c>
      <c r="K31" s="5">
        <v>1.3209</v>
      </c>
      <c r="L31" s="3">
        <v>59</v>
      </c>
      <c r="M31">
        <v>124</v>
      </c>
      <c r="N31">
        <v>158.52799999999999</v>
      </c>
      <c r="O31" s="5">
        <v>0.78220000000000001</v>
      </c>
      <c r="P31" s="3">
        <v>252</v>
      </c>
      <c r="Q31">
        <v>247</v>
      </c>
      <c r="R31">
        <v>1634</v>
      </c>
      <c r="S31" s="5">
        <v>0.15116279069767441</v>
      </c>
      <c r="T31" s="5">
        <v>0.24001713353076279</v>
      </c>
      <c r="U31" s="5">
        <v>0.62980000000000003</v>
      </c>
      <c r="V31" s="3">
        <v>254</v>
      </c>
      <c r="W31" s="5">
        <v>0.94873331597692501</v>
      </c>
      <c r="X31" s="3">
        <v>242</v>
      </c>
      <c r="Y31">
        <v>9.7895000000000003</v>
      </c>
      <c r="Z31" s="3">
        <v>24</v>
      </c>
      <c r="AA31">
        <v>15</v>
      </c>
      <c r="AB31">
        <v>208</v>
      </c>
      <c r="AC31" s="5">
        <v>7.2115384615384609E-2</v>
      </c>
      <c r="AD31" s="5">
        <v>0.1</v>
      </c>
      <c r="AE31" s="5">
        <v>0.72119999999999995</v>
      </c>
      <c r="AF31" s="3">
        <v>177</v>
      </c>
      <c r="AG31" s="5">
        <v>0.33337733333333336</v>
      </c>
      <c r="AH31" s="5">
        <v>0.4</v>
      </c>
      <c r="AI31" s="5">
        <v>0.83340000000000003</v>
      </c>
      <c r="AJ31" s="3">
        <v>136</v>
      </c>
      <c r="AK31">
        <v>50</v>
      </c>
      <c r="AL31">
        <v>62</v>
      </c>
      <c r="AM31" s="5">
        <v>0.80645161290322576</v>
      </c>
      <c r="AN31" s="5">
        <v>0.8</v>
      </c>
      <c r="AO31" s="5">
        <v>1.0081</v>
      </c>
      <c r="AP31" s="3">
        <v>149</v>
      </c>
    </row>
    <row r="32" spans="1:42">
      <c r="A32" s="4" t="str">
        <f>_xlfn.XLOOKUP(Table1[[#This Row],[SAP]],'Location List'!B:B,'Location List'!G:G)</f>
        <v>DFW EAST</v>
      </c>
      <c r="B32" s="4" t="str">
        <f>LEFT(Table1[[#This Row],[Sap: Loaction]],4)</f>
        <v>2819</v>
      </c>
      <c r="C32" t="s">
        <v>505</v>
      </c>
      <c r="D32" t="s">
        <v>573</v>
      </c>
      <c r="E32" s="3">
        <v>3</v>
      </c>
      <c r="F32" s="3">
        <v>161</v>
      </c>
      <c r="G32">
        <v>167.2</v>
      </c>
      <c r="H32" t="s">
        <v>470</v>
      </c>
      <c r="I32" s="6">
        <v>28.751899999999999</v>
      </c>
      <c r="J32" s="6">
        <v>39.99986087924318</v>
      </c>
      <c r="K32" s="5">
        <v>0.71879999999999999</v>
      </c>
      <c r="L32" s="3">
        <v>313</v>
      </c>
      <c r="M32">
        <v>282</v>
      </c>
      <c r="N32">
        <v>228.77</v>
      </c>
      <c r="O32" s="5">
        <v>1.2326999999999999</v>
      </c>
      <c r="P32" s="3">
        <v>60</v>
      </c>
      <c r="Q32">
        <v>422</v>
      </c>
      <c r="R32">
        <v>2232</v>
      </c>
      <c r="S32" s="5">
        <v>0.18906810035842295</v>
      </c>
      <c r="T32" s="5">
        <v>0.23999504995991744</v>
      </c>
      <c r="U32" s="5">
        <v>0.78779999999999994</v>
      </c>
      <c r="V32" s="3">
        <v>133</v>
      </c>
      <c r="W32" s="5">
        <v>1.237112627390577</v>
      </c>
      <c r="X32" s="3">
        <v>130</v>
      </c>
      <c r="Y32">
        <v>9.0269999999999992</v>
      </c>
      <c r="Z32" s="3">
        <v>171</v>
      </c>
      <c r="AA32">
        <v>21</v>
      </c>
      <c r="AB32">
        <v>311</v>
      </c>
      <c r="AC32" s="5">
        <v>6.7524115755627015E-2</v>
      </c>
      <c r="AD32" s="5">
        <v>0.1</v>
      </c>
      <c r="AE32" s="5">
        <v>0.67520000000000002</v>
      </c>
      <c r="AF32" s="3">
        <v>192</v>
      </c>
      <c r="AG32" s="5">
        <v>0.37250066666666665</v>
      </c>
      <c r="AH32" s="5">
        <v>0.4</v>
      </c>
      <c r="AI32" s="5">
        <v>0.93130000000000002</v>
      </c>
      <c r="AJ32" s="3">
        <v>85</v>
      </c>
      <c r="AK32">
        <v>58</v>
      </c>
      <c r="AL32">
        <v>82</v>
      </c>
      <c r="AM32" s="5">
        <v>0.70731707317073167</v>
      </c>
      <c r="AN32" s="5">
        <v>0.8</v>
      </c>
      <c r="AO32" s="5">
        <v>0.8841</v>
      </c>
      <c r="AP32" s="3">
        <v>239</v>
      </c>
    </row>
    <row r="33" spans="1:42">
      <c r="A33" s="4" t="str">
        <f>_xlfn.XLOOKUP(Table1[[#This Row],[SAP]],'Location List'!B:B,'Location List'!G:G)</f>
        <v>MO/IA/NE</v>
      </c>
      <c r="B33" s="4" t="str">
        <f>LEFT(Table1[[#This Row],[Sap: Loaction]],4)</f>
        <v>4ASN</v>
      </c>
      <c r="C33" t="s">
        <v>505</v>
      </c>
      <c r="D33" t="s">
        <v>563</v>
      </c>
      <c r="E33" s="3">
        <v>3</v>
      </c>
      <c r="F33" s="3">
        <v>165</v>
      </c>
      <c r="G33">
        <v>169.5</v>
      </c>
      <c r="H33" t="s">
        <v>470</v>
      </c>
      <c r="I33" s="6">
        <v>58.476799999999997</v>
      </c>
      <c r="J33" s="6">
        <v>40.000547233052878</v>
      </c>
      <c r="K33" s="5">
        <v>1.4619</v>
      </c>
      <c r="L33" s="3">
        <v>34</v>
      </c>
      <c r="M33">
        <v>342</v>
      </c>
      <c r="N33">
        <v>268.64100000000002</v>
      </c>
      <c r="O33" s="5">
        <v>1.2730999999999999</v>
      </c>
      <c r="P33" s="3">
        <v>46</v>
      </c>
      <c r="Q33">
        <v>481</v>
      </c>
      <c r="R33">
        <v>3160</v>
      </c>
      <c r="S33" s="5">
        <v>0.15221518987341773</v>
      </c>
      <c r="T33" s="5">
        <v>0.24001133691803489</v>
      </c>
      <c r="U33" s="5">
        <v>0.63419999999999999</v>
      </c>
      <c r="V33" s="3">
        <v>251</v>
      </c>
      <c r="W33" s="5">
        <v>1.2375817312330439</v>
      </c>
      <c r="X33" s="3">
        <v>128</v>
      </c>
      <c r="Y33">
        <v>9.4487000000000005</v>
      </c>
      <c r="Z33" s="3">
        <v>72</v>
      </c>
      <c r="AA33">
        <v>12</v>
      </c>
      <c r="AB33">
        <v>318</v>
      </c>
      <c r="AC33" s="5">
        <v>3.7735849056603772E-2</v>
      </c>
      <c r="AD33" s="5">
        <v>0.1</v>
      </c>
      <c r="AE33" s="5">
        <v>0.37740000000000001</v>
      </c>
      <c r="AF33" s="3">
        <v>271</v>
      </c>
      <c r="AG33" s="5">
        <v>0.17729233333333336</v>
      </c>
      <c r="AH33" s="5">
        <v>0.4</v>
      </c>
      <c r="AI33" s="5">
        <v>0.44319999999999998</v>
      </c>
      <c r="AJ33" s="3">
        <v>327</v>
      </c>
      <c r="AK33">
        <v>74</v>
      </c>
      <c r="AL33">
        <v>111</v>
      </c>
      <c r="AM33" s="5">
        <v>0.66666666666666663</v>
      </c>
      <c r="AN33" s="5">
        <v>0.8</v>
      </c>
      <c r="AO33" s="5">
        <v>0.83330000000000004</v>
      </c>
      <c r="AP33" s="3">
        <v>265</v>
      </c>
    </row>
    <row r="34" spans="1:42">
      <c r="A34" s="4" t="str">
        <f>_xlfn.XLOOKUP(Table1[[#This Row],[SAP]],'Location List'!B:B,'Location List'!G:G)</f>
        <v>SA SOUTH</v>
      </c>
      <c r="B34" s="4" t="str">
        <f>LEFT(Table1[[#This Row],[Sap: Loaction]],4)</f>
        <v>2074</v>
      </c>
      <c r="C34" t="s">
        <v>505</v>
      </c>
      <c r="D34" t="s">
        <v>530</v>
      </c>
      <c r="E34" s="3">
        <v>3</v>
      </c>
      <c r="F34" s="3">
        <v>167</v>
      </c>
      <c r="G34">
        <v>170.75</v>
      </c>
      <c r="H34" t="s">
        <v>470</v>
      </c>
      <c r="I34" s="6">
        <v>38.560899999999997</v>
      </c>
      <c r="J34" s="6">
        <v>40.000933609958501</v>
      </c>
      <c r="K34" s="5">
        <v>0.96399999999999997</v>
      </c>
      <c r="L34" s="3">
        <v>192</v>
      </c>
      <c r="M34">
        <v>140</v>
      </c>
      <c r="N34">
        <v>200.29599999999999</v>
      </c>
      <c r="O34" s="5">
        <v>0.69899999999999995</v>
      </c>
      <c r="P34" s="3">
        <v>284</v>
      </c>
      <c r="Q34">
        <v>233</v>
      </c>
      <c r="R34">
        <v>1629</v>
      </c>
      <c r="S34" s="5">
        <v>0.14303253529772866</v>
      </c>
      <c r="T34" s="5">
        <v>0.23998747533175951</v>
      </c>
      <c r="U34" s="5">
        <v>0.59599999999999997</v>
      </c>
      <c r="V34" s="3">
        <v>278</v>
      </c>
      <c r="W34" s="5">
        <v>1.1382258711175801</v>
      </c>
      <c r="X34" s="3">
        <v>169</v>
      </c>
      <c r="Y34">
        <v>9.6087000000000007</v>
      </c>
      <c r="Z34" s="3">
        <v>43</v>
      </c>
      <c r="AA34">
        <v>16</v>
      </c>
      <c r="AB34">
        <v>103</v>
      </c>
      <c r="AC34" s="5">
        <v>0.1553398058252427</v>
      </c>
      <c r="AD34" s="5">
        <v>0.1</v>
      </c>
      <c r="AE34" s="5">
        <v>1.5533999999999999</v>
      </c>
      <c r="AF34" s="3">
        <v>43</v>
      </c>
      <c r="AG34" s="5">
        <v>0.33456100000000005</v>
      </c>
      <c r="AH34" s="5">
        <v>0.4</v>
      </c>
      <c r="AI34" s="5">
        <v>0.83640000000000003</v>
      </c>
      <c r="AJ34" s="3">
        <v>133</v>
      </c>
      <c r="AK34">
        <v>35</v>
      </c>
      <c r="AL34">
        <v>45</v>
      </c>
      <c r="AM34" s="5">
        <v>0.77777777777777779</v>
      </c>
      <c r="AN34" s="5">
        <v>0.8</v>
      </c>
      <c r="AO34" s="5">
        <v>0.97219999999999995</v>
      </c>
      <c r="AP34" s="3">
        <v>167</v>
      </c>
    </row>
    <row r="35" spans="1:42">
      <c r="A35" s="4" t="str">
        <f>_xlfn.XLOOKUP(Table1[[#This Row],[SAP]],'Location List'!B:B,'Location List'!G:G)</f>
        <v>SOUTH TX/RGV</v>
      </c>
      <c r="B35" s="4" t="str">
        <f>LEFT(Table1[[#This Row],[Sap: Loaction]],4)</f>
        <v>200E</v>
      </c>
      <c r="C35" t="s">
        <v>505</v>
      </c>
      <c r="D35" t="s">
        <v>562</v>
      </c>
      <c r="E35" s="3">
        <v>3</v>
      </c>
      <c r="F35" s="3">
        <v>169</v>
      </c>
      <c r="G35">
        <v>171.65</v>
      </c>
      <c r="H35" t="s">
        <v>470</v>
      </c>
      <c r="I35" s="6">
        <v>34.999400000000001</v>
      </c>
      <c r="J35" s="6">
        <v>39.999314285714284</v>
      </c>
      <c r="K35" s="5">
        <v>0.875</v>
      </c>
      <c r="L35" s="3">
        <v>242</v>
      </c>
      <c r="M35">
        <v>145</v>
      </c>
      <c r="N35">
        <v>208.83699999999999</v>
      </c>
      <c r="O35" s="5">
        <v>0.69430000000000003</v>
      </c>
      <c r="P35" s="3">
        <v>285</v>
      </c>
      <c r="Q35">
        <v>244</v>
      </c>
      <c r="R35">
        <v>1230</v>
      </c>
      <c r="S35" s="5">
        <v>0.19837398373983739</v>
      </c>
      <c r="T35" s="5">
        <v>0.23998788257904355</v>
      </c>
      <c r="U35" s="5">
        <v>0.8266</v>
      </c>
      <c r="V35" s="3">
        <v>107</v>
      </c>
      <c r="W35" s="5">
        <v>1.2590303603516344</v>
      </c>
      <c r="X35" s="3">
        <v>120</v>
      </c>
      <c r="Y35">
        <v>9.0307999999999993</v>
      </c>
      <c r="Z35" s="3">
        <v>170</v>
      </c>
      <c r="AA35">
        <v>41</v>
      </c>
      <c r="AB35">
        <v>295</v>
      </c>
      <c r="AC35" s="5">
        <v>0.13898305084745763</v>
      </c>
      <c r="AD35" s="5">
        <v>0.1</v>
      </c>
      <c r="AE35" s="5">
        <v>1.3897999999999999</v>
      </c>
      <c r="AF35" s="3">
        <v>57</v>
      </c>
      <c r="AG35" s="5">
        <v>0.39185133333333333</v>
      </c>
      <c r="AH35" s="5">
        <v>0.4</v>
      </c>
      <c r="AI35" s="5">
        <v>0.97960000000000003</v>
      </c>
      <c r="AJ35" s="3">
        <v>67</v>
      </c>
      <c r="AK35">
        <v>19</v>
      </c>
      <c r="AL35">
        <v>35</v>
      </c>
      <c r="AM35" s="5">
        <v>0.54285714285714282</v>
      </c>
      <c r="AN35" s="5">
        <v>0.8</v>
      </c>
      <c r="AO35" s="5">
        <v>0.67859999999999998</v>
      </c>
      <c r="AP35" s="3">
        <v>323</v>
      </c>
    </row>
    <row r="36" spans="1:42">
      <c r="A36" s="4" t="str">
        <f>_xlfn.XLOOKUP(Table1[[#This Row],[SAP]],'Location List'!B:B,'Location List'!G:G)</f>
        <v>SA/HILL COUNTRY</v>
      </c>
      <c r="B36" s="4" t="str">
        <f>LEFT(Table1[[#This Row],[Sap: Loaction]],4)</f>
        <v>776D</v>
      </c>
      <c r="C36" t="s">
        <v>505</v>
      </c>
      <c r="D36" t="s">
        <v>534</v>
      </c>
      <c r="E36" s="3">
        <v>3</v>
      </c>
      <c r="F36" s="3">
        <v>171</v>
      </c>
      <c r="G36">
        <v>171.95</v>
      </c>
      <c r="H36" t="s">
        <v>470</v>
      </c>
      <c r="I36" s="6">
        <v>34.493200000000002</v>
      </c>
      <c r="J36" s="6">
        <v>35.000710299340433</v>
      </c>
      <c r="K36" s="5">
        <v>0.98550000000000004</v>
      </c>
      <c r="L36" s="3">
        <v>179</v>
      </c>
      <c r="M36">
        <v>127</v>
      </c>
      <c r="N36">
        <v>149.97900000000001</v>
      </c>
      <c r="O36" s="5">
        <v>0.8468</v>
      </c>
      <c r="P36" s="3">
        <v>218</v>
      </c>
      <c r="Q36">
        <v>198</v>
      </c>
      <c r="R36">
        <v>1119</v>
      </c>
      <c r="S36" s="5">
        <v>0.17694369973190349</v>
      </c>
      <c r="T36" s="5">
        <v>0.23998874234626816</v>
      </c>
      <c r="U36" s="5">
        <v>0.73729999999999996</v>
      </c>
      <c r="V36" s="3">
        <v>166</v>
      </c>
      <c r="W36" s="5">
        <v>1.2469905310234222</v>
      </c>
      <c r="X36" s="3">
        <v>127</v>
      </c>
      <c r="Y36">
        <v>9.6295999999999999</v>
      </c>
      <c r="Z36" s="3">
        <v>42</v>
      </c>
      <c r="AA36">
        <v>28</v>
      </c>
      <c r="AB36">
        <v>183</v>
      </c>
      <c r="AC36" s="5">
        <v>0.15300546448087432</v>
      </c>
      <c r="AD36" s="5">
        <v>0.1</v>
      </c>
      <c r="AE36" s="5">
        <v>1.5301</v>
      </c>
      <c r="AF36" s="3">
        <v>48</v>
      </c>
      <c r="AG36" s="5">
        <v>0.14981866666666668</v>
      </c>
      <c r="AH36" s="5">
        <v>0.4</v>
      </c>
      <c r="AI36" s="5">
        <v>0.3745</v>
      </c>
      <c r="AJ36" s="3">
        <v>345</v>
      </c>
      <c r="AK36">
        <v>18</v>
      </c>
      <c r="AL36">
        <v>29</v>
      </c>
      <c r="AM36" s="5">
        <v>0.62068965517241381</v>
      </c>
      <c r="AN36" s="5">
        <v>0.8</v>
      </c>
      <c r="AO36" s="5">
        <v>0.77590000000000003</v>
      </c>
      <c r="AP36" s="3">
        <v>289</v>
      </c>
    </row>
    <row r="37" spans="1:42">
      <c r="A37" s="4" t="str">
        <f>_xlfn.XLOOKUP(Table1[[#This Row],[SAP]],'Location List'!B:B,'Location List'!G:G)</f>
        <v>SA/HILL COUNTRY</v>
      </c>
      <c r="B37" s="4" t="str">
        <f>LEFT(Table1[[#This Row],[Sap: Loaction]],4)</f>
        <v>1ESB</v>
      </c>
      <c r="C37" t="s">
        <v>505</v>
      </c>
      <c r="D37" t="s">
        <v>533</v>
      </c>
      <c r="E37" s="3">
        <v>3</v>
      </c>
      <c r="F37" s="3">
        <v>173</v>
      </c>
      <c r="G37">
        <v>173.05</v>
      </c>
      <c r="H37" t="s">
        <v>470</v>
      </c>
      <c r="I37" s="6">
        <v>45.178699999999999</v>
      </c>
      <c r="J37" s="6">
        <v>39.998849048251436</v>
      </c>
      <c r="K37" s="5">
        <v>1.1294999999999999</v>
      </c>
      <c r="L37" s="3">
        <v>123</v>
      </c>
      <c r="M37">
        <v>223</v>
      </c>
      <c r="N37">
        <v>187.005</v>
      </c>
      <c r="O37" s="5">
        <v>1.1924999999999999</v>
      </c>
      <c r="P37" s="3">
        <v>68</v>
      </c>
      <c r="Q37">
        <v>382</v>
      </c>
      <c r="R37">
        <v>1808</v>
      </c>
      <c r="S37" s="5">
        <v>0.21128318584070796</v>
      </c>
      <c r="T37" s="5">
        <v>0.24001270685074175</v>
      </c>
      <c r="U37" s="5">
        <v>0.88029999999999997</v>
      </c>
      <c r="V37" s="3">
        <v>83</v>
      </c>
      <c r="W37" s="5">
        <v>0.99285207941095299</v>
      </c>
      <c r="X37" s="3">
        <v>224</v>
      </c>
      <c r="Y37">
        <v>7.2941000000000003</v>
      </c>
      <c r="Z37" s="3">
        <v>353</v>
      </c>
      <c r="AA37">
        <v>20</v>
      </c>
      <c r="AB37">
        <v>265</v>
      </c>
      <c r="AC37" s="5">
        <v>7.5471698113207544E-2</v>
      </c>
      <c r="AD37" s="5">
        <v>0.1</v>
      </c>
      <c r="AE37" s="5">
        <v>0.75470000000000004</v>
      </c>
      <c r="AF37" s="3">
        <v>163</v>
      </c>
      <c r="AG37" s="5">
        <v>0.19087233333333334</v>
      </c>
      <c r="AH37" s="5">
        <v>0.4</v>
      </c>
      <c r="AI37" s="5">
        <v>0.47720000000000001</v>
      </c>
      <c r="AJ37" s="3">
        <v>316</v>
      </c>
      <c r="AK37">
        <v>51</v>
      </c>
      <c r="AL37">
        <v>67</v>
      </c>
      <c r="AM37" s="5">
        <v>0.76119402985074625</v>
      </c>
      <c r="AN37" s="5">
        <v>0.8</v>
      </c>
      <c r="AO37" s="5">
        <v>0.95150000000000001</v>
      </c>
      <c r="AP37" s="3">
        <v>182</v>
      </c>
    </row>
    <row r="38" spans="1:42">
      <c r="A38" s="4" t="str">
        <f>_xlfn.XLOOKUP(Table1[[#This Row],[SAP]],'Location List'!B:B,'Location List'!G:G)</f>
        <v>CENTRAL TEXAS</v>
      </c>
      <c r="B38" s="4" t="str">
        <f>LEFT(Table1[[#This Row],[Sap: Loaction]],4)</f>
        <v>1FSC</v>
      </c>
      <c r="C38" t="s">
        <v>505</v>
      </c>
      <c r="D38" t="s">
        <v>543</v>
      </c>
      <c r="E38" s="3">
        <v>3</v>
      </c>
      <c r="F38" s="3">
        <v>180</v>
      </c>
      <c r="G38">
        <v>176.7</v>
      </c>
      <c r="H38" t="s">
        <v>470</v>
      </c>
      <c r="I38" s="6">
        <v>43.430300000000003</v>
      </c>
      <c r="J38" s="6">
        <v>39.998434334131517</v>
      </c>
      <c r="K38" s="5">
        <v>1.0858000000000001</v>
      </c>
      <c r="L38" s="3">
        <v>142</v>
      </c>
      <c r="M38">
        <v>218</v>
      </c>
      <c r="N38">
        <v>172.76400000000001</v>
      </c>
      <c r="O38" s="5">
        <v>1.2618</v>
      </c>
      <c r="P38" s="3">
        <v>51</v>
      </c>
      <c r="Q38">
        <v>356</v>
      </c>
      <c r="R38">
        <v>1590</v>
      </c>
      <c r="S38" s="5">
        <v>0.2238993710691824</v>
      </c>
      <c r="T38" s="5">
        <v>0.24000361353755215</v>
      </c>
      <c r="U38" s="5">
        <v>0.93289999999999995</v>
      </c>
      <c r="V38" s="3">
        <v>63</v>
      </c>
      <c r="W38" s="5">
        <v>0.92507099930991121</v>
      </c>
      <c r="X38" s="3">
        <v>258</v>
      </c>
      <c r="Y38">
        <v>7.8108000000000004</v>
      </c>
      <c r="Z38" s="3">
        <v>332</v>
      </c>
      <c r="AA38">
        <v>22</v>
      </c>
      <c r="AB38">
        <v>283</v>
      </c>
      <c r="AC38" s="5">
        <v>7.7738515901060068E-2</v>
      </c>
      <c r="AD38" s="5">
        <v>0.1</v>
      </c>
      <c r="AE38" s="5">
        <v>0.77739999999999998</v>
      </c>
      <c r="AF38" s="3">
        <v>158</v>
      </c>
      <c r="AG38" s="5">
        <v>0.22008799999999998</v>
      </c>
      <c r="AH38" s="5">
        <v>0.4</v>
      </c>
      <c r="AI38" s="5">
        <v>0.55020000000000002</v>
      </c>
      <c r="AJ38" s="3">
        <v>284</v>
      </c>
      <c r="AK38">
        <v>49</v>
      </c>
      <c r="AL38">
        <v>74</v>
      </c>
      <c r="AM38" s="5">
        <v>0.66216216216216217</v>
      </c>
      <c r="AN38" s="5">
        <v>0.8</v>
      </c>
      <c r="AO38" s="5">
        <v>0.82769999999999999</v>
      </c>
      <c r="AP38" s="3">
        <v>272</v>
      </c>
    </row>
    <row r="39" spans="1:42">
      <c r="A39" s="4" t="str">
        <f>_xlfn.XLOOKUP(Table1[[#This Row],[SAP]],'Location List'!B:B,'Location List'!G:G)</f>
        <v>WEST TEXAS</v>
      </c>
      <c r="B39" s="4" t="str">
        <f>LEFT(Table1[[#This Row],[Sap: Loaction]],4)</f>
        <v>1FSZ</v>
      </c>
      <c r="C39" t="s">
        <v>505</v>
      </c>
      <c r="D39" t="s">
        <v>552</v>
      </c>
      <c r="E39" s="3">
        <v>3</v>
      </c>
      <c r="F39" s="3">
        <v>185</v>
      </c>
      <c r="G39">
        <v>179.45</v>
      </c>
      <c r="H39" t="s">
        <v>470</v>
      </c>
      <c r="I39" s="6">
        <v>89.382099999999994</v>
      </c>
      <c r="J39" s="6">
        <v>39.99914973597064</v>
      </c>
      <c r="K39" s="5">
        <v>2.2345999999999999</v>
      </c>
      <c r="L39" s="3">
        <v>5</v>
      </c>
      <c r="M39">
        <v>294</v>
      </c>
      <c r="N39">
        <v>284.77699999999999</v>
      </c>
      <c r="O39" s="5">
        <v>1.0324</v>
      </c>
      <c r="P39" s="3">
        <v>132</v>
      </c>
      <c r="Q39">
        <v>357</v>
      </c>
      <c r="R39">
        <v>2125</v>
      </c>
      <c r="S39" s="5">
        <v>0.16800000000000001</v>
      </c>
      <c r="T39" s="5">
        <v>0.24000000000000002</v>
      </c>
      <c r="U39" s="5">
        <v>0.7</v>
      </c>
      <c r="V39" s="3">
        <v>188</v>
      </c>
      <c r="W39" s="5">
        <v>0.96729423254899449</v>
      </c>
      <c r="X39" s="3">
        <v>235</v>
      </c>
      <c r="Y39">
        <v>7.9565000000000001</v>
      </c>
      <c r="Z39" s="3">
        <v>319</v>
      </c>
      <c r="AA39">
        <v>13</v>
      </c>
      <c r="AB39">
        <v>314</v>
      </c>
      <c r="AC39" s="5">
        <v>4.1401273885350316E-2</v>
      </c>
      <c r="AD39" s="5">
        <v>0.1</v>
      </c>
      <c r="AE39" s="5">
        <v>0.41399999999999998</v>
      </c>
      <c r="AF39" s="3">
        <v>260</v>
      </c>
      <c r="AG39" s="5">
        <v>0.35073233333333337</v>
      </c>
      <c r="AH39" s="5">
        <v>0.4</v>
      </c>
      <c r="AI39" s="5">
        <v>0.87680000000000002</v>
      </c>
      <c r="AJ39" s="3">
        <v>113</v>
      </c>
      <c r="AK39">
        <v>78</v>
      </c>
      <c r="AL39">
        <v>112</v>
      </c>
      <c r="AM39" s="5">
        <v>0.6964285714285714</v>
      </c>
      <c r="AN39" s="5">
        <v>0.8</v>
      </c>
      <c r="AO39" s="5">
        <v>0.87050000000000005</v>
      </c>
      <c r="AP39" s="3">
        <v>250</v>
      </c>
    </row>
    <row r="40" spans="1:42">
      <c r="A40" s="4" t="str">
        <f>_xlfn.XLOOKUP(Table1[[#This Row],[SAP]],'Location List'!B:B,'Location List'!G:G)</f>
        <v>WEST TEXAS</v>
      </c>
      <c r="B40" s="4" t="str">
        <f>LEFT(Table1[[#This Row],[Sap: Loaction]],4)</f>
        <v>1LSS</v>
      </c>
      <c r="C40" t="s">
        <v>505</v>
      </c>
      <c r="D40" t="s">
        <v>556</v>
      </c>
      <c r="E40" s="3">
        <v>3</v>
      </c>
      <c r="F40" s="3">
        <v>186</v>
      </c>
      <c r="G40">
        <v>179.5</v>
      </c>
      <c r="H40" t="s">
        <v>470</v>
      </c>
      <c r="I40" s="6">
        <v>31.403700000000001</v>
      </c>
      <c r="J40" s="6">
        <v>35.001894783771732</v>
      </c>
      <c r="K40" s="5">
        <v>0.8972</v>
      </c>
      <c r="L40" s="3">
        <v>231</v>
      </c>
      <c r="M40">
        <v>128</v>
      </c>
      <c r="N40">
        <v>140.488</v>
      </c>
      <c r="O40" s="5">
        <v>0.91110000000000002</v>
      </c>
      <c r="P40" s="3">
        <v>186</v>
      </c>
      <c r="Q40">
        <v>190</v>
      </c>
      <c r="R40">
        <v>997</v>
      </c>
      <c r="S40" s="5">
        <v>0.1905717151454363</v>
      </c>
      <c r="T40" s="5">
        <v>0.24001475459122959</v>
      </c>
      <c r="U40" s="5">
        <v>0.79400000000000004</v>
      </c>
      <c r="V40" s="3">
        <v>129</v>
      </c>
      <c r="W40" s="5">
        <v>1.3272466118075883</v>
      </c>
      <c r="X40" s="3">
        <v>100</v>
      </c>
      <c r="Y40">
        <v>8.7646999999999995</v>
      </c>
      <c r="Z40" s="3">
        <v>235</v>
      </c>
      <c r="AA40">
        <v>13</v>
      </c>
      <c r="AB40">
        <v>182</v>
      </c>
      <c r="AC40" s="5">
        <v>7.1428571428571425E-2</v>
      </c>
      <c r="AD40" s="5">
        <v>0.1</v>
      </c>
      <c r="AE40" s="5">
        <v>0.71430000000000005</v>
      </c>
      <c r="AF40" s="3">
        <v>180</v>
      </c>
      <c r="AG40" s="5">
        <v>0.3659593333333333</v>
      </c>
      <c r="AH40" s="5">
        <v>0.4</v>
      </c>
      <c r="AI40" s="5">
        <v>0.91490000000000005</v>
      </c>
      <c r="AJ40" s="3">
        <v>98</v>
      </c>
      <c r="AK40">
        <v>27</v>
      </c>
      <c r="AL40">
        <v>41</v>
      </c>
      <c r="AM40" s="5">
        <v>0.65853658536585369</v>
      </c>
      <c r="AN40" s="5">
        <v>0.8</v>
      </c>
      <c r="AO40" s="5">
        <v>0.82320000000000004</v>
      </c>
      <c r="AP40" s="3">
        <v>273</v>
      </c>
    </row>
    <row r="41" spans="1:42">
      <c r="A41" s="4" t="str">
        <f>_xlfn.XLOOKUP(Table1[[#This Row],[SAP]],'Location List'!B:B,'Location List'!G:G)</f>
        <v>WEST TEXAS</v>
      </c>
      <c r="B41" s="4" t="str">
        <f>LEFT(Table1[[#This Row],[Sap: Loaction]],4)</f>
        <v>1FSX</v>
      </c>
      <c r="C41" t="s">
        <v>505</v>
      </c>
      <c r="D41" t="s">
        <v>535</v>
      </c>
      <c r="E41" s="3">
        <v>3</v>
      </c>
      <c r="F41" s="3">
        <v>195</v>
      </c>
      <c r="G41">
        <v>182.75</v>
      </c>
      <c r="H41" t="s">
        <v>470</v>
      </c>
      <c r="I41" s="6">
        <v>23.045999999999999</v>
      </c>
      <c r="J41" s="6">
        <v>30</v>
      </c>
      <c r="K41" s="5">
        <v>0.76819999999999999</v>
      </c>
      <c r="L41" s="3">
        <v>293</v>
      </c>
      <c r="M41">
        <v>54</v>
      </c>
      <c r="N41">
        <v>69.293000000000006</v>
      </c>
      <c r="O41" s="5">
        <v>0.77929999999999999</v>
      </c>
      <c r="P41" s="3">
        <v>253</v>
      </c>
      <c r="Q41">
        <v>108</v>
      </c>
      <c r="R41">
        <v>619</v>
      </c>
      <c r="S41" s="5">
        <v>0.17447495961227788</v>
      </c>
      <c r="T41" s="5">
        <v>0.23999306686695721</v>
      </c>
      <c r="U41" s="5">
        <v>0.72699999999999998</v>
      </c>
      <c r="V41" s="3">
        <v>172</v>
      </c>
      <c r="W41" s="5">
        <v>0.76047998979911446</v>
      </c>
      <c r="X41" s="3">
        <v>319</v>
      </c>
      <c r="Y41">
        <v>10</v>
      </c>
      <c r="Z41" s="3">
        <v>1</v>
      </c>
      <c r="AA41">
        <v>8</v>
      </c>
      <c r="AB41">
        <v>86</v>
      </c>
      <c r="AC41" s="5">
        <v>9.3023255813953487E-2</v>
      </c>
      <c r="AD41" s="5">
        <v>0.1</v>
      </c>
      <c r="AE41" s="5">
        <v>0.93020000000000003</v>
      </c>
      <c r="AF41" s="3">
        <v>121</v>
      </c>
      <c r="AG41" s="5">
        <v>0.27777766666666664</v>
      </c>
      <c r="AH41" s="5">
        <v>0.4</v>
      </c>
      <c r="AI41" s="5">
        <v>0.69440000000000002</v>
      </c>
      <c r="AJ41" s="3">
        <v>210</v>
      </c>
      <c r="AK41">
        <v>17</v>
      </c>
      <c r="AL41">
        <v>18</v>
      </c>
      <c r="AM41" s="5">
        <v>0.94444444444444442</v>
      </c>
      <c r="AN41" s="5">
        <v>0.8</v>
      </c>
      <c r="AO41" s="5">
        <v>1.1806000000000001</v>
      </c>
      <c r="AP41" s="3">
        <v>39</v>
      </c>
    </row>
    <row r="42" spans="1:42">
      <c r="A42" s="4" t="str">
        <f>_xlfn.XLOOKUP(Table1[[#This Row],[SAP]],'Location List'!B:B,'Location List'!G:G)</f>
        <v>WEST TEXAS</v>
      </c>
      <c r="B42" s="4" t="str">
        <f>LEFT(Table1[[#This Row],[Sap: Loaction]],4)</f>
        <v>930E</v>
      </c>
      <c r="C42" t="s">
        <v>505</v>
      </c>
      <c r="D42" t="s">
        <v>571</v>
      </c>
      <c r="E42" s="3">
        <v>3</v>
      </c>
      <c r="F42" s="3">
        <v>196</v>
      </c>
      <c r="G42">
        <v>182.8</v>
      </c>
      <c r="H42" t="s">
        <v>470</v>
      </c>
      <c r="I42" s="6">
        <v>41.325200000000002</v>
      </c>
      <c r="J42" s="6">
        <v>40.001161552608657</v>
      </c>
      <c r="K42" s="5">
        <v>1.0330999999999999</v>
      </c>
      <c r="L42" s="3">
        <v>160</v>
      </c>
      <c r="M42">
        <v>154</v>
      </c>
      <c r="N42">
        <v>191.75399999999999</v>
      </c>
      <c r="O42" s="5">
        <v>0.80310000000000004</v>
      </c>
      <c r="P42" s="3">
        <v>236</v>
      </c>
      <c r="Q42">
        <v>233</v>
      </c>
      <c r="R42">
        <v>1279</v>
      </c>
      <c r="S42" s="5">
        <v>0.18217357310398749</v>
      </c>
      <c r="T42" s="5">
        <v>0.23998626413382623</v>
      </c>
      <c r="U42" s="5">
        <v>0.7591</v>
      </c>
      <c r="V42" s="3">
        <v>145</v>
      </c>
      <c r="W42" s="5">
        <v>0.85140100477556424</v>
      </c>
      <c r="X42" s="3">
        <v>289</v>
      </c>
      <c r="Y42">
        <v>9.1951000000000001</v>
      </c>
      <c r="Z42" s="3">
        <v>130</v>
      </c>
      <c r="AA42">
        <v>18</v>
      </c>
      <c r="AB42">
        <v>175</v>
      </c>
      <c r="AC42" s="5">
        <v>0.10285714285714286</v>
      </c>
      <c r="AD42" s="5">
        <v>0.1</v>
      </c>
      <c r="AE42" s="5">
        <v>1.0286</v>
      </c>
      <c r="AF42" s="3">
        <v>109</v>
      </c>
      <c r="AG42" s="5">
        <v>0.34032633333333334</v>
      </c>
      <c r="AH42" s="5">
        <v>0.4</v>
      </c>
      <c r="AI42" s="5">
        <v>0.8508</v>
      </c>
      <c r="AJ42" s="3">
        <v>121</v>
      </c>
      <c r="AK42">
        <v>31</v>
      </c>
      <c r="AL42">
        <v>55</v>
      </c>
      <c r="AM42" s="5">
        <v>0.5636363636363636</v>
      </c>
      <c r="AN42" s="5">
        <v>0.8</v>
      </c>
      <c r="AO42" s="5">
        <v>0.70450000000000002</v>
      </c>
      <c r="AP42" s="3">
        <v>313</v>
      </c>
    </row>
    <row r="43" spans="1:42">
      <c r="A43" s="4" t="str">
        <f>_xlfn.XLOOKUP(Table1[[#This Row],[SAP]],'Location List'!B:B,'Location List'!G:G)</f>
        <v>CENTRAL TEXAS</v>
      </c>
      <c r="B43" s="4" t="str">
        <f>LEFT(Table1[[#This Row],[Sap: Loaction]],4)</f>
        <v>961F</v>
      </c>
      <c r="C43" t="s">
        <v>505</v>
      </c>
      <c r="D43" t="s">
        <v>566</v>
      </c>
      <c r="E43" s="3">
        <v>3</v>
      </c>
      <c r="F43" s="3">
        <v>197</v>
      </c>
      <c r="G43">
        <v>183.1</v>
      </c>
      <c r="H43" t="s">
        <v>470</v>
      </c>
      <c r="I43" s="6">
        <v>21.183299999999999</v>
      </c>
      <c r="J43" s="6">
        <v>35.002148050231327</v>
      </c>
      <c r="K43" s="5">
        <v>0.60519999999999996</v>
      </c>
      <c r="L43" s="3">
        <v>336</v>
      </c>
      <c r="M43">
        <v>107</v>
      </c>
      <c r="N43">
        <v>79.738</v>
      </c>
      <c r="O43" s="5">
        <v>1.3419000000000001</v>
      </c>
      <c r="P43" s="3">
        <v>36</v>
      </c>
      <c r="Q43">
        <v>147</v>
      </c>
      <c r="R43">
        <v>548</v>
      </c>
      <c r="S43" s="5">
        <v>0.26824817518248173</v>
      </c>
      <c r="T43" s="5">
        <v>0.24000015673479624</v>
      </c>
      <c r="U43" s="5">
        <v>1.1176999999999999</v>
      </c>
      <c r="V43" s="3">
        <v>21</v>
      </c>
      <c r="W43" s="5">
        <v>1.6824205743459195</v>
      </c>
      <c r="X43" s="3">
        <v>22</v>
      </c>
      <c r="Y43">
        <v>8.3000000000000007</v>
      </c>
      <c r="Z43" s="3">
        <v>298</v>
      </c>
      <c r="AA43">
        <v>4</v>
      </c>
      <c r="AB43">
        <v>98</v>
      </c>
      <c r="AC43" s="5">
        <v>4.0816326530612242E-2</v>
      </c>
      <c r="AD43" s="5">
        <v>0.1</v>
      </c>
      <c r="AE43" s="5">
        <v>0.40820000000000001</v>
      </c>
      <c r="AF43" s="3">
        <v>263</v>
      </c>
      <c r="AG43" s="5">
        <v>0.20500566666666667</v>
      </c>
      <c r="AH43" s="5">
        <v>0.4</v>
      </c>
      <c r="AI43" s="5">
        <v>0.51249999999999996</v>
      </c>
      <c r="AJ43" s="3">
        <v>305</v>
      </c>
      <c r="AK43">
        <v>16</v>
      </c>
      <c r="AL43">
        <v>22</v>
      </c>
      <c r="AM43" s="5">
        <v>0.72727272727272729</v>
      </c>
      <c r="AN43" s="5">
        <v>0.8</v>
      </c>
      <c r="AO43" s="5">
        <v>0.90910000000000002</v>
      </c>
      <c r="AP43" s="3">
        <v>222</v>
      </c>
    </row>
    <row r="44" spans="1:42">
      <c r="A44" s="4" t="str">
        <f>_xlfn.XLOOKUP(Table1[[#This Row],[SAP]],'Location List'!B:B,'Location List'!G:G)</f>
        <v>DFW EAST</v>
      </c>
      <c r="B44" s="4" t="str">
        <f>LEFT(Table1[[#This Row],[Sap: Loaction]],4)</f>
        <v>6ESH</v>
      </c>
      <c r="C44" t="s">
        <v>505</v>
      </c>
      <c r="D44" t="s">
        <v>567</v>
      </c>
      <c r="E44" s="3">
        <v>3</v>
      </c>
      <c r="F44" s="3">
        <v>201</v>
      </c>
      <c r="G44">
        <v>185.2</v>
      </c>
      <c r="H44" t="s">
        <v>470</v>
      </c>
      <c r="I44" s="6">
        <v>34.736400000000003</v>
      </c>
      <c r="J44" s="6">
        <v>40.000460617227091</v>
      </c>
      <c r="K44" s="5">
        <v>0.86839999999999995</v>
      </c>
      <c r="L44" s="3">
        <v>247</v>
      </c>
      <c r="M44">
        <v>204</v>
      </c>
      <c r="N44">
        <v>229.72300000000001</v>
      </c>
      <c r="O44" s="5">
        <v>0.88800000000000001</v>
      </c>
      <c r="P44" s="3">
        <v>197</v>
      </c>
      <c r="Q44">
        <v>339</v>
      </c>
      <c r="R44">
        <v>2023</v>
      </c>
      <c r="S44" s="5">
        <v>0.16757291151754819</v>
      </c>
      <c r="T44" s="5">
        <v>0.24000703454246372</v>
      </c>
      <c r="U44" s="5">
        <v>0.69820000000000004</v>
      </c>
      <c r="V44" s="3">
        <v>190</v>
      </c>
      <c r="W44" s="5">
        <v>1.1124218140976616</v>
      </c>
      <c r="X44" s="3">
        <v>180</v>
      </c>
      <c r="Y44">
        <v>9.2898999999999994</v>
      </c>
      <c r="Z44" s="3">
        <v>103</v>
      </c>
      <c r="AA44">
        <v>26</v>
      </c>
      <c r="AB44">
        <v>412</v>
      </c>
      <c r="AC44" s="5">
        <v>6.3106796116504854E-2</v>
      </c>
      <c r="AD44" s="5">
        <v>0.1</v>
      </c>
      <c r="AE44" s="5">
        <v>0.63109999999999999</v>
      </c>
      <c r="AF44" s="3">
        <v>204</v>
      </c>
      <c r="AG44" s="5">
        <v>0.30452433333333334</v>
      </c>
      <c r="AH44" s="5">
        <v>0.4</v>
      </c>
      <c r="AI44" s="5">
        <v>0.76129999999999998</v>
      </c>
      <c r="AJ44" s="3">
        <v>175</v>
      </c>
      <c r="AK44">
        <v>48</v>
      </c>
      <c r="AL44">
        <v>59</v>
      </c>
      <c r="AM44" s="5">
        <v>0.81355932203389836</v>
      </c>
      <c r="AN44" s="5">
        <v>0.8</v>
      </c>
      <c r="AO44" s="5">
        <v>1.0168999999999999</v>
      </c>
      <c r="AP44" s="3">
        <v>137</v>
      </c>
    </row>
    <row r="45" spans="1:42">
      <c r="A45" s="4" t="str">
        <f>_xlfn.XLOOKUP(Table1[[#This Row],[SAP]],'Location List'!B:B,'Location List'!G:G)</f>
        <v>CENTRAL TEXAS</v>
      </c>
      <c r="B45" s="4" t="str">
        <f>LEFT(Table1[[#This Row],[Sap: Loaction]],4)</f>
        <v>1FSU</v>
      </c>
      <c r="C45" t="s">
        <v>505</v>
      </c>
      <c r="D45" t="s">
        <v>542</v>
      </c>
      <c r="E45" s="3">
        <v>3</v>
      </c>
      <c r="F45" s="3">
        <v>202</v>
      </c>
      <c r="G45">
        <v>185.5</v>
      </c>
      <c r="H45" t="s">
        <v>470</v>
      </c>
      <c r="I45" s="6">
        <v>25.136399999999998</v>
      </c>
      <c r="J45" s="6">
        <v>29.999283924095952</v>
      </c>
      <c r="K45" s="5">
        <v>0.83789999999999998</v>
      </c>
      <c r="L45" s="3">
        <v>262</v>
      </c>
      <c r="M45">
        <v>64</v>
      </c>
      <c r="N45">
        <v>83.534999999999997</v>
      </c>
      <c r="O45" s="5">
        <v>0.7661</v>
      </c>
      <c r="P45" s="3">
        <v>258</v>
      </c>
      <c r="Q45">
        <v>114</v>
      </c>
      <c r="R45">
        <v>785</v>
      </c>
      <c r="S45" s="5">
        <v>0.14522292993630573</v>
      </c>
      <c r="T45" s="5">
        <v>0.23999823159197775</v>
      </c>
      <c r="U45" s="5">
        <v>0.60509999999999997</v>
      </c>
      <c r="V45" s="3">
        <v>269</v>
      </c>
      <c r="W45" s="5">
        <v>1.5700232669507719</v>
      </c>
      <c r="X45" s="3">
        <v>36</v>
      </c>
      <c r="Y45">
        <v>9.6969999999999992</v>
      </c>
      <c r="Z45" s="3">
        <v>35</v>
      </c>
      <c r="AA45">
        <v>14</v>
      </c>
      <c r="AB45">
        <v>191</v>
      </c>
      <c r="AC45" s="5">
        <v>7.3298429319371722E-2</v>
      </c>
      <c r="AD45" s="5">
        <v>0.1</v>
      </c>
      <c r="AE45" s="5">
        <v>0.73299999999999998</v>
      </c>
      <c r="AF45" s="3">
        <v>171</v>
      </c>
      <c r="AG45" s="5">
        <v>0.19945399999999999</v>
      </c>
      <c r="AH45" s="5">
        <v>0.4</v>
      </c>
      <c r="AI45" s="5">
        <v>0.49859999999999999</v>
      </c>
      <c r="AJ45" s="3">
        <v>309</v>
      </c>
      <c r="AK45">
        <v>18</v>
      </c>
      <c r="AL45">
        <v>19</v>
      </c>
      <c r="AM45" s="5">
        <v>0.94736842105263153</v>
      </c>
      <c r="AN45" s="5">
        <v>0.8</v>
      </c>
      <c r="AO45" s="5">
        <v>1.1841999999999999</v>
      </c>
      <c r="AP45" s="3">
        <v>35</v>
      </c>
    </row>
    <row r="46" spans="1:42">
      <c r="A46" s="4" t="str">
        <f>_xlfn.XLOOKUP(Table1[[#This Row],[SAP]],'Location List'!B:B,'Location List'!G:G)</f>
        <v>DFW EAST</v>
      </c>
      <c r="B46" s="4" t="str">
        <f>LEFT(Table1[[#This Row],[Sap: Loaction]],4)</f>
        <v>2536</v>
      </c>
      <c r="C46" t="s">
        <v>505</v>
      </c>
      <c r="D46" t="s">
        <v>551</v>
      </c>
      <c r="E46" s="3">
        <v>3</v>
      </c>
      <c r="F46" s="3">
        <v>203</v>
      </c>
      <c r="G46">
        <v>186.3</v>
      </c>
      <c r="H46" t="s">
        <v>470</v>
      </c>
      <c r="I46" s="6">
        <v>39.416400000000003</v>
      </c>
      <c r="J46" s="6">
        <v>40.0004059265273</v>
      </c>
      <c r="K46" s="5">
        <v>0.98540000000000005</v>
      </c>
      <c r="L46" s="3">
        <v>180</v>
      </c>
      <c r="M46">
        <v>407</v>
      </c>
      <c r="N46">
        <v>389.2</v>
      </c>
      <c r="O46" s="5">
        <v>1.0457000000000001</v>
      </c>
      <c r="P46" s="3">
        <v>128</v>
      </c>
      <c r="Q46">
        <v>498</v>
      </c>
      <c r="R46">
        <v>3068</v>
      </c>
      <c r="S46" s="5">
        <v>0.1623207301173403</v>
      </c>
      <c r="T46" s="5">
        <v>0.24001290864607466</v>
      </c>
      <c r="U46" s="5">
        <v>0.67630000000000001</v>
      </c>
      <c r="V46" s="3">
        <v>214</v>
      </c>
      <c r="W46" s="5">
        <v>0.72537242647176314</v>
      </c>
      <c r="X46" s="3">
        <v>330</v>
      </c>
      <c r="Y46">
        <v>9.7222000000000008</v>
      </c>
      <c r="Z46" s="3">
        <v>30</v>
      </c>
      <c r="AA46">
        <v>20</v>
      </c>
      <c r="AB46">
        <v>320</v>
      </c>
      <c r="AC46" s="5">
        <v>6.25E-2</v>
      </c>
      <c r="AD46" s="5">
        <v>0.1</v>
      </c>
      <c r="AE46" s="5">
        <v>0.625</v>
      </c>
      <c r="AF46" s="3">
        <v>206</v>
      </c>
      <c r="AG46" s="5">
        <v>0.23826733333333336</v>
      </c>
      <c r="AH46" s="5">
        <v>0.4</v>
      </c>
      <c r="AI46" s="5">
        <v>0.59570000000000001</v>
      </c>
      <c r="AJ46" s="3">
        <v>260</v>
      </c>
      <c r="AK46">
        <v>62</v>
      </c>
      <c r="AL46">
        <v>77</v>
      </c>
      <c r="AM46" s="5">
        <v>0.80519480519480524</v>
      </c>
      <c r="AN46" s="5">
        <v>0.8</v>
      </c>
      <c r="AO46" s="5">
        <v>1.0065</v>
      </c>
      <c r="AP46" s="3">
        <v>151</v>
      </c>
    </row>
    <row r="47" spans="1:42">
      <c r="A47" s="4" t="str">
        <f>_xlfn.XLOOKUP(Table1[[#This Row],[SAP]],'Location List'!B:B,'Location List'!G:G)</f>
        <v>CENTRAL TEXAS</v>
      </c>
      <c r="B47" s="4" t="str">
        <f>LEFT(Table1[[#This Row],[Sap: Loaction]],4)</f>
        <v>1FSI</v>
      </c>
      <c r="C47" t="s">
        <v>505</v>
      </c>
      <c r="D47" t="s">
        <v>538</v>
      </c>
      <c r="E47" s="3">
        <v>3</v>
      </c>
      <c r="F47" s="3">
        <v>205</v>
      </c>
      <c r="G47">
        <v>187.25</v>
      </c>
      <c r="H47" t="s">
        <v>470</v>
      </c>
      <c r="I47" s="6">
        <v>29.055399999999999</v>
      </c>
      <c r="J47" s="6">
        <v>34.998072753553359</v>
      </c>
      <c r="K47" s="5">
        <v>0.83020000000000005</v>
      </c>
      <c r="L47" s="3">
        <v>266</v>
      </c>
      <c r="M47">
        <v>83</v>
      </c>
      <c r="N47">
        <v>124.354</v>
      </c>
      <c r="O47" s="5">
        <v>0.66739999999999999</v>
      </c>
      <c r="P47" s="3">
        <v>295</v>
      </c>
      <c r="Q47">
        <v>154</v>
      </c>
      <c r="R47">
        <v>991</v>
      </c>
      <c r="S47" s="5">
        <v>0.15539858728557013</v>
      </c>
      <c r="T47" s="5">
        <v>0.23999781820165272</v>
      </c>
      <c r="U47" s="5">
        <v>0.64749999999999996</v>
      </c>
      <c r="V47" s="3">
        <v>240</v>
      </c>
      <c r="W47" s="5">
        <v>1.0310855597238962</v>
      </c>
      <c r="X47" s="3">
        <v>211</v>
      </c>
      <c r="Y47">
        <v>9.9565000000000001</v>
      </c>
      <c r="Z47" s="3">
        <v>8</v>
      </c>
      <c r="AA47">
        <v>7</v>
      </c>
      <c r="AB47">
        <v>94</v>
      </c>
      <c r="AC47" s="5">
        <v>7.4468085106382975E-2</v>
      </c>
      <c r="AD47" s="5">
        <v>0.1</v>
      </c>
      <c r="AE47" s="5">
        <v>0.74470000000000003</v>
      </c>
      <c r="AF47" s="3">
        <v>168</v>
      </c>
      <c r="AG47" s="5">
        <v>0.33528399999999997</v>
      </c>
      <c r="AH47" s="5">
        <v>0.4</v>
      </c>
      <c r="AI47" s="5">
        <v>0.83819999999999995</v>
      </c>
      <c r="AJ47" s="3">
        <v>131</v>
      </c>
      <c r="AK47">
        <v>35</v>
      </c>
      <c r="AL47">
        <v>39</v>
      </c>
      <c r="AM47" s="5">
        <v>0.89743589743589747</v>
      </c>
      <c r="AN47" s="5">
        <v>0.8</v>
      </c>
      <c r="AO47" s="5">
        <v>1.1217999999999999</v>
      </c>
      <c r="AP47" s="3">
        <v>69</v>
      </c>
    </row>
    <row r="48" spans="1:42">
      <c r="A48" s="4" t="str">
        <f>_xlfn.XLOOKUP(Table1[[#This Row],[SAP]],'Location List'!B:B,'Location List'!G:G)</f>
        <v>MO/IA/NE</v>
      </c>
      <c r="B48" s="4" t="str">
        <f>LEFT(Table1[[#This Row],[Sap: Loaction]],4)</f>
        <v>3ISS</v>
      </c>
      <c r="C48" t="s">
        <v>505</v>
      </c>
      <c r="D48" t="s">
        <v>580</v>
      </c>
      <c r="E48" s="3">
        <v>3</v>
      </c>
      <c r="F48" s="3">
        <v>209</v>
      </c>
      <c r="G48">
        <v>188.1</v>
      </c>
      <c r="H48" t="s">
        <v>470</v>
      </c>
      <c r="I48" s="6">
        <v>37.319299999999998</v>
      </c>
      <c r="J48" s="6">
        <v>29.999437299035367</v>
      </c>
      <c r="K48" s="5">
        <v>1.244</v>
      </c>
      <c r="L48" s="3">
        <v>80</v>
      </c>
      <c r="M48">
        <v>172</v>
      </c>
      <c r="N48">
        <v>101.56699999999999</v>
      </c>
      <c r="O48" s="5">
        <v>1.6935</v>
      </c>
      <c r="P48" s="3">
        <v>7</v>
      </c>
      <c r="Q48">
        <v>263</v>
      </c>
      <c r="R48">
        <v>2301</v>
      </c>
      <c r="S48" s="5">
        <v>0.11429813124728379</v>
      </c>
      <c r="T48" s="5">
        <v>0.24002127519379207</v>
      </c>
      <c r="U48" s="5">
        <v>0.47620000000000001</v>
      </c>
      <c r="V48" s="3">
        <v>337</v>
      </c>
      <c r="W48" s="5">
        <v>1.2981718232335555</v>
      </c>
      <c r="X48" s="3">
        <v>105</v>
      </c>
      <c r="Y48">
        <v>9.3018999999999998</v>
      </c>
      <c r="Z48" s="3">
        <v>100</v>
      </c>
      <c r="AA48">
        <v>5</v>
      </c>
      <c r="AB48">
        <v>499</v>
      </c>
      <c r="AC48" s="5">
        <v>1.002004008016032E-2</v>
      </c>
      <c r="AD48" s="5">
        <v>0.1</v>
      </c>
      <c r="AE48" s="5">
        <v>0.1002</v>
      </c>
      <c r="AF48" s="3">
        <v>340</v>
      </c>
      <c r="AG48" s="5">
        <v>0.23031799999999999</v>
      </c>
      <c r="AH48" s="5">
        <v>0.4</v>
      </c>
      <c r="AI48" s="5">
        <v>0.57579999999999998</v>
      </c>
      <c r="AJ48" s="3">
        <v>272</v>
      </c>
      <c r="AK48">
        <v>15</v>
      </c>
      <c r="AL48">
        <v>22</v>
      </c>
      <c r="AM48" s="5">
        <v>0.68181818181818177</v>
      </c>
      <c r="AN48" s="5">
        <v>0.8</v>
      </c>
      <c r="AO48" s="5">
        <v>0.85229999999999995</v>
      </c>
      <c r="AP48" s="3">
        <v>258</v>
      </c>
    </row>
    <row r="49" spans="1:42">
      <c r="A49" s="4" t="str">
        <f>_xlfn.XLOOKUP(Table1[[#This Row],[SAP]],'Location List'!B:B,'Location List'!G:G)</f>
        <v>MO/IA/NE</v>
      </c>
      <c r="B49" s="4" t="str">
        <f>LEFT(Table1[[#This Row],[Sap: Loaction]],4)</f>
        <v>4ASP</v>
      </c>
      <c r="C49" t="s">
        <v>505</v>
      </c>
      <c r="D49" t="s">
        <v>555</v>
      </c>
      <c r="E49" s="3">
        <v>3</v>
      </c>
      <c r="F49" s="3">
        <v>212</v>
      </c>
      <c r="G49">
        <v>189.85</v>
      </c>
      <c r="H49" t="s">
        <v>470</v>
      </c>
      <c r="I49" s="6">
        <v>43.844900000000003</v>
      </c>
      <c r="J49" s="6">
        <v>40.000821092965971</v>
      </c>
      <c r="K49" s="5">
        <v>1.0961000000000001</v>
      </c>
      <c r="L49" s="3">
        <v>135</v>
      </c>
      <c r="M49">
        <v>168</v>
      </c>
      <c r="N49">
        <v>148.08500000000001</v>
      </c>
      <c r="O49" s="5">
        <v>1.1345000000000001</v>
      </c>
      <c r="P49" s="3">
        <v>84</v>
      </c>
      <c r="Q49">
        <v>274</v>
      </c>
      <c r="R49">
        <v>1727</v>
      </c>
      <c r="S49" s="5">
        <v>0.15865662999420962</v>
      </c>
      <c r="T49" s="5">
        <v>0.23998885190471883</v>
      </c>
      <c r="U49" s="5">
        <v>0.66110000000000002</v>
      </c>
      <c r="V49" s="3">
        <v>227</v>
      </c>
      <c r="W49" s="5">
        <v>1.3583111397598269</v>
      </c>
      <c r="X49" s="3">
        <v>88</v>
      </c>
      <c r="Y49">
        <v>8.6140000000000008</v>
      </c>
      <c r="Z49" s="3">
        <v>266</v>
      </c>
      <c r="AA49">
        <v>12</v>
      </c>
      <c r="AB49">
        <v>250</v>
      </c>
      <c r="AC49" s="5">
        <v>4.8000000000000001E-2</v>
      </c>
      <c r="AD49" s="5">
        <v>0.1</v>
      </c>
      <c r="AE49" s="5">
        <v>0.48</v>
      </c>
      <c r="AF49" s="3">
        <v>239</v>
      </c>
      <c r="AG49" s="5">
        <v>0.27677233333333334</v>
      </c>
      <c r="AH49" s="5">
        <v>0.4</v>
      </c>
      <c r="AI49" s="5">
        <v>0.69189999999999996</v>
      </c>
      <c r="AJ49" s="3">
        <v>213</v>
      </c>
      <c r="AK49">
        <v>35</v>
      </c>
      <c r="AL49">
        <v>61</v>
      </c>
      <c r="AM49" s="5">
        <v>0.57377049180327866</v>
      </c>
      <c r="AN49" s="5">
        <v>0.8</v>
      </c>
      <c r="AO49" s="5">
        <v>0.71719999999999995</v>
      </c>
      <c r="AP49" s="3">
        <v>304</v>
      </c>
    </row>
    <row r="50" spans="1:42">
      <c r="A50" s="4" t="str">
        <f>_xlfn.XLOOKUP(Table1[[#This Row],[SAP]],'Location List'!B:B,'Location List'!G:G)</f>
        <v>CENTRAL TEXAS</v>
      </c>
      <c r="B50" s="4" t="str">
        <f>LEFT(Table1[[#This Row],[Sap: Loaction]],4)</f>
        <v>1DSD</v>
      </c>
      <c r="C50" t="s">
        <v>505</v>
      </c>
      <c r="D50" t="s">
        <v>586</v>
      </c>
      <c r="E50" s="3">
        <v>4</v>
      </c>
      <c r="F50" s="3">
        <v>217</v>
      </c>
      <c r="G50">
        <v>192.9</v>
      </c>
      <c r="H50" t="s">
        <v>470</v>
      </c>
      <c r="I50" s="6">
        <v>28.4023</v>
      </c>
      <c r="J50" s="6">
        <v>34.999753542821935</v>
      </c>
      <c r="K50" s="5">
        <v>0.8115</v>
      </c>
      <c r="L50" s="3">
        <v>277</v>
      </c>
      <c r="M50">
        <v>104</v>
      </c>
      <c r="N50">
        <v>115.81100000000001</v>
      </c>
      <c r="O50" s="5">
        <v>0.89800000000000002</v>
      </c>
      <c r="P50" s="3">
        <v>194</v>
      </c>
      <c r="Q50">
        <v>228</v>
      </c>
      <c r="R50">
        <v>1510</v>
      </c>
      <c r="S50" s="5">
        <v>0.15099337748344371</v>
      </c>
      <c r="T50" s="5">
        <v>0.24001490618891069</v>
      </c>
      <c r="U50" s="5">
        <v>0.62909999999999999</v>
      </c>
      <c r="V50" s="3">
        <v>255</v>
      </c>
      <c r="W50" s="5">
        <v>1.0715644276461556</v>
      </c>
      <c r="X50" s="3">
        <v>200</v>
      </c>
      <c r="Y50">
        <v>9.4237000000000002</v>
      </c>
      <c r="Z50" s="3">
        <v>75</v>
      </c>
      <c r="AA50">
        <v>21</v>
      </c>
      <c r="AB50">
        <v>261</v>
      </c>
      <c r="AC50" s="5">
        <v>8.0459770114942528E-2</v>
      </c>
      <c r="AD50" s="5">
        <v>0.1</v>
      </c>
      <c r="AE50" s="5">
        <v>0.80459999999999998</v>
      </c>
      <c r="AF50" s="3">
        <v>150</v>
      </c>
      <c r="AG50" s="5">
        <v>0.33109033333333332</v>
      </c>
      <c r="AH50" s="5">
        <v>0.4</v>
      </c>
      <c r="AI50" s="5">
        <v>0.82769999999999999</v>
      </c>
      <c r="AJ50" s="3">
        <v>141</v>
      </c>
      <c r="AK50">
        <v>35</v>
      </c>
      <c r="AL50">
        <v>47</v>
      </c>
      <c r="AM50" s="5">
        <v>0.74468085106382975</v>
      </c>
      <c r="AN50" s="5">
        <v>0.8</v>
      </c>
      <c r="AO50" s="5">
        <v>0.93089999999999995</v>
      </c>
      <c r="AP50" s="3">
        <v>199</v>
      </c>
    </row>
    <row r="51" spans="1:42">
      <c r="A51" s="4" t="str">
        <f>_xlfn.XLOOKUP(Table1[[#This Row],[SAP]],'Location List'!B:B,'Location List'!G:G)</f>
        <v>DFW NORTH</v>
      </c>
      <c r="B51" s="4" t="str">
        <f>LEFT(Table1[[#This Row],[Sap: Loaction]],4)</f>
        <v>1BSE</v>
      </c>
      <c r="C51" t="s">
        <v>505</v>
      </c>
      <c r="D51" t="s">
        <v>564</v>
      </c>
      <c r="E51" s="3">
        <v>4</v>
      </c>
      <c r="F51" s="3">
        <v>224</v>
      </c>
      <c r="G51">
        <v>198.15</v>
      </c>
      <c r="H51" t="s">
        <v>470</v>
      </c>
      <c r="I51" s="6">
        <v>30.600200000000001</v>
      </c>
      <c r="J51" s="6">
        <v>40.000261437908499</v>
      </c>
      <c r="K51" s="5">
        <v>0.76500000000000001</v>
      </c>
      <c r="L51" s="3">
        <v>297</v>
      </c>
      <c r="M51">
        <v>143</v>
      </c>
      <c r="N51">
        <v>139.542</v>
      </c>
      <c r="O51" s="5">
        <v>1.0247999999999999</v>
      </c>
      <c r="P51" s="3">
        <v>140</v>
      </c>
      <c r="Q51">
        <v>207</v>
      </c>
      <c r="R51">
        <v>1274</v>
      </c>
      <c r="S51" s="5">
        <v>0.16248037676609106</v>
      </c>
      <c r="T51" s="5">
        <v>0.24000055652302962</v>
      </c>
      <c r="U51" s="5">
        <v>0.67700000000000005</v>
      </c>
      <c r="V51" s="3">
        <v>213</v>
      </c>
      <c r="W51" s="5">
        <v>0.87473482047530648</v>
      </c>
      <c r="X51" s="3">
        <v>280</v>
      </c>
      <c r="Y51">
        <v>9.2881</v>
      </c>
      <c r="Z51" s="3">
        <v>104</v>
      </c>
      <c r="AA51">
        <v>12</v>
      </c>
      <c r="AB51">
        <v>214</v>
      </c>
      <c r="AC51" s="5">
        <v>5.6074766355140186E-2</v>
      </c>
      <c r="AD51" s="5">
        <v>0.1</v>
      </c>
      <c r="AE51" s="5">
        <v>0.56069999999999998</v>
      </c>
      <c r="AF51" s="3">
        <v>217</v>
      </c>
      <c r="AG51" s="5">
        <v>0.27147700000000002</v>
      </c>
      <c r="AH51" s="5">
        <v>0.4</v>
      </c>
      <c r="AI51" s="5">
        <v>0.67869999999999997</v>
      </c>
      <c r="AJ51" s="3">
        <v>221</v>
      </c>
      <c r="AK51">
        <v>31</v>
      </c>
      <c r="AL51">
        <v>35</v>
      </c>
      <c r="AM51" s="5">
        <v>0.88571428571428568</v>
      </c>
      <c r="AN51" s="5">
        <v>0.8</v>
      </c>
      <c r="AO51" s="5">
        <v>1.1071</v>
      </c>
      <c r="AP51" s="3">
        <v>76</v>
      </c>
    </row>
    <row r="52" spans="1:42">
      <c r="A52" s="4" t="str">
        <f>_xlfn.XLOOKUP(Table1[[#This Row],[SAP]],'Location List'!B:B,'Location List'!G:G)</f>
        <v>DFW NORTH</v>
      </c>
      <c r="B52" s="4" t="str">
        <f>LEFT(Table1[[#This Row],[Sap: Loaction]],4)</f>
        <v>904E</v>
      </c>
      <c r="C52" t="s">
        <v>505</v>
      </c>
      <c r="D52" t="s">
        <v>544</v>
      </c>
      <c r="E52" s="3">
        <v>4</v>
      </c>
      <c r="F52" s="3">
        <v>230</v>
      </c>
      <c r="G52">
        <v>201.75</v>
      </c>
      <c r="H52" t="s">
        <v>470</v>
      </c>
      <c r="I52" s="6">
        <v>33.511600000000001</v>
      </c>
      <c r="J52" s="6">
        <v>34.99906005221932</v>
      </c>
      <c r="K52" s="5">
        <v>0.95750000000000002</v>
      </c>
      <c r="L52" s="3">
        <v>199</v>
      </c>
      <c r="M52">
        <v>112</v>
      </c>
      <c r="N52">
        <v>144.28299999999999</v>
      </c>
      <c r="O52" s="5">
        <v>0.77629999999999999</v>
      </c>
      <c r="P52" s="3">
        <v>256</v>
      </c>
      <c r="Q52">
        <v>169</v>
      </c>
      <c r="R52">
        <v>1077</v>
      </c>
      <c r="S52" s="5">
        <v>0.15691736304549675</v>
      </c>
      <c r="T52" s="5">
        <v>0.24000820288390445</v>
      </c>
      <c r="U52" s="5">
        <v>0.65380000000000005</v>
      </c>
      <c r="V52" s="3">
        <v>233</v>
      </c>
      <c r="W52" s="5">
        <v>1.0257936061425366</v>
      </c>
      <c r="X52" s="3">
        <v>214</v>
      </c>
      <c r="Y52">
        <v>8.9524000000000008</v>
      </c>
      <c r="Z52" s="3">
        <v>196</v>
      </c>
      <c r="AA52">
        <v>10</v>
      </c>
      <c r="AB52">
        <v>129</v>
      </c>
      <c r="AC52" s="5">
        <v>7.7519379844961239E-2</v>
      </c>
      <c r="AD52" s="5">
        <v>0.1</v>
      </c>
      <c r="AE52" s="5">
        <v>0.7752</v>
      </c>
      <c r="AF52" s="3">
        <v>159</v>
      </c>
      <c r="AG52" s="5">
        <v>0.34401199999999998</v>
      </c>
      <c r="AH52" s="5">
        <v>0.4</v>
      </c>
      <c r="AI52" s="5">
        <v>0.86</v>
      </c>
      <c r="AJ52" s="3">
        <v>119</v>
      </c>
      <c r="AK52">
        <v>38</v>
      </c>
      <c r="AL52">
        <v>52</v>
      </c>
      <c r="AM52" s="5">
        <v>0.73076923076923073</v>
      </c>
      <c r="AN52" s="5">
        <v>0.8</v>
      </c>
      <c r="AO52" s="5">
        <v>0.91349999999999998</v>
      </c>
      <c r="AP52" s="3">
        <v>218</v>
      </c>
    </row>
    <row r="53" spans="1:42">
      <c r="A53" s="4" t="str">
        <f>_xlfn.XLOOKUP(Table1[[#This Row],[SAP]],'Location List'!B:B,'Location List'!G:G)</f>
        <v>SA/HILL COUNTRY</v>
      </c>
      <c r="B53" s="4" t="str">
        <f>LEFT(Table1[[#This Row],[Sap: Loaction]],4)</f>
        <v>583D</v>
      </c>
      <c r="C53" t="s">
        <v>505</v>
      </c>
      <c r="D53" t="s">
        <v>557</v>
      </c>
      <c r="E53" s="3">
        <v>4</v>
      </c>
      <c r="F53" s="3">
        <v>233</v>
      </c>
      <c r="G53">
        <v>202.55</v>
      </c>
      <c r="H53" t="s">
        <v>470</v>
      </c>
      <c r="I53" s="6">
        <v>30.639600000000002</v>
      </c>
      <c r="J53" s="6">
        <v>39.999477806788512</v>
      </c>
      <c r="K53" s="5">
        <v>0.76600000000000001</v>
      </c>
      <c r="L53" s="3">
        <v>295</v>
      </c>
      <c r="M53">
        <v>131</v>
      </c>
      <c r="N53">
        <v>144.28800000000001</v>
      </c>
      <c r="O53" s="5">
        <v>0.90790000000000004</v>
      </c>
      <c r="P53" s="3">
        <v>189</v>
      </c>
      <c r="Q53">
        <v>238</v>
      </c>
      <c r="R53">
        <v>1351</v>
      </c>
      <c r="S53" s="5">
        <v>0.17616580310880828</v>
      </c>
      <c r="T53" s="5">
        <v>0.24000790614279058</v>
      </c>
      <c r="U53" s="5">
        <v>0.73399999999999999</v>
      </c>
      <c r="V53" s="3">
        <v>168</v>
      </c>
      <c r="W53" s="5">
        <v>1.3364151398620334</v>
      </c>
      <c r="X53" s="3">
        <v>95</v>
      </c>
      <c r="Y53">
        <v>9.5455000000000005</v>
      </c>
      <c r="Z53" s="3">
        <v>52</v>
      </c>
      <c r="AA53">
        <v>13</v>
      </c>
      <c r="AB53">
        <v>213</v>
      </c>
      <c r="AC53" s="5">
        <v>6.1032863849765258E-2</v>
      </c>
      <c r="AD53" s="5">
        <v>0.1</v>
      </c>
      <c r="AE53" s="5">
        <v>0.61029999999999995</v>
      </c>
      <c r="AF53" s="3">
        <v>209</v>
      </c>
      <c r="AG53" s="5">
        <v>0.19683866666666669</v>
      </c>
      <c r="AH53" s="5">
        <v>0.4</v>
      </c>
      <c r="AI53" s="5">
        <v>0.49209999999999998</v>
      </c>
      <c r="AJ53" s="3">
        <v>311</v>
      </c>
      <c r="AK53">
        <v>30</v>
      </c>
      <c r="AL53">
        <v>46</v>
      </c>
      <c r="AM53" s="5">
        <v>0.65217391304347827</v>
      </c>
      <c r="AN53" s="5">
        <v>0.8</v>
      </c>
      <c r="AO53" s="5">
        <v>0.81520000000000004</v>
      </c>
      <c r="AP53" s="3">
        <v>276</v>
      </c>
    </row>
    <row r="54" spans="1:42">
      <c r="A54" s="4" t="str">
        <f>_xlfn.XLOOKUP(Table1[[#This Row],[SAP]],'Location List'!B:B,'Location List'!G:G)</f>
        <v>MO/IA/NE</v>
      </c>
      <c r="B54" s="4" t="str">
        <f>LEFT(Table1[[#This Row],[Sap: Loaction]],4)</f>
        <v>3ISY</v>
      </c>
      <c r="C54" t="s">
        <v>505</v>
      </c>
      <c r="D54" t="s">
        <v>546</v>
      </c>
      <c r="E54" s="3">
        <v>4</v>
      </c>
      <c r="F54" s="3">
        <v>244</v>
      </c>
      <c r="G54">
        <v>209.15</v>
      </c>
      <c r="H54" t="s">
        <v>470</v>
      </c>
      <c r="I54" s="6">
        <v>37.362200000000001</v>
      </c>
      <c r="J54" s="6">
        <v>39.998073011454878</v>
      </c>
      <c r="K54" s="5">
        <v>0.93410000000000004</v>
      </c>
      <c r="L54" s="3">
        <v>212</v>
      </c>
      <c r="M54">
        <v>131</v>
      </c>
      <c r="N54">
        <v>114.858</v>
      </c>
      <c r="O54" s="5">
        <v>1.1405000000000001</v>
      </c>
      <c r="P54" s="3">
        <v>82</v>
      </c>
      <c r="Q54">
        <v>186</v>
      </c>
      <c r="R54">
        <v>1652</v>
      </c>
      <c r="S54" s="5">
        <v>0.11259079903147699</v>
      </c>
      <c r="T54" s="5">
        <v>0.24001449377846298</v>
      </c>
      <c r="U54" s="5">
        <v>0.46910000000000002</v>
      </c>
      <c r="V54" s="3">
        <v>342</v>
      </c>
      <c r="W54" s="5">
        <v>0.8446856933272302</v>
      </c>
      <c r="X54" s="3">
        <v>291</v>
      </c>
      <c r="Y54">
        <v>9.5051000000000005</v>
      </c>
      <c r="Z54" s="3">
        <v>55</v>
      </c>
      <c r="AA54">
        <v>19</v>
      </c>
      <c r="AB54">
        <v>346</v>
      </c>
      <c r="AC54" s="5">
        <v>5.4913294797687862E-2</v>
      </c>
      <c r="AD54" s="5">
        <v>0.1</v>
      </c>
      <c r="AE54" s="5">
        <v>0.54910000000000003</v>
      </c>
      <c r="AF54" s="3">
        <v>219</v>
      </c>
      <c r="AG54" s="5">
        <v>0.26532800000000001</v>
      </c>
      <c r="AH54" s="5">
        <v>0.4</v>
      </c>
      <c r="AI54" s="5">
        <v>0.6633</v>
      </c>
      <c r="AJ54" s="3">
        <v>231</v>
      </c>
      <c r="AK54">
        <v>15</v>
      </c>
      <c r="AL54">
        <v>21</v>
      </c>
      <c r="AM54" s="5">
        <v>0.7142857142857143</v>
      </c>
      <c r="AN54" s="5">
        <v>0.8</v>
      </c>
      <c r="AO54" s="5">
        <v>0.89290000000000003</v>
      </c>
      <c r="AP54" s="3">
        <v>232</v>
      </c>
    </row>
    <row r="55" spans="1:42">
      <c r="A55" s="4" t="str">
        <f>_xlfn.XLOOKUP(Table1[[#This Row],[SAP]],'Location List'!B:B,'Location List'!G:G)</f>
        <v>WEST TEXAS</v>
      </c>
      <c r="B55" s="4" t="str">
        <f>LEFT(Table1[[#This Row],[Sap: Loaction]],4)</f>
        <v>903E</v>
      </c>
      <c r="C55" t="s">
        <v>505</v>
      </c>
      <c r="D55" t="s">
        <v>532</v>
      </c>
      <c r="E55" s="3">
        <v>4</v>
      </c>
      <c r="F55" s="3">
        <v>247</v>
      </c>
      <c r="G55">
        <v>209.95</v>
      </c>
      <c r="H55" t="s">
        <v>470</v>
      </c>
      <c r="I55" s="6">
        <v>25.338899999999999</v>
      </c>
      <c r="J55" s="6">
        <v>30.001065593180201</v>
      </c>
      <c r="K55" s="5">
        <v>0.84460000000000002</v>
      </c>
      <c r="L55" s="3">
        <v>258</v>
      </c>
      <c r="M55">
        <v>52</v>
      </c>
      <c r="N55">
        <v>77.837000000000003</v>
      </c>
      <c r="O55" s="5">
        <v>0.66810000000000003</v>
      </c>
      <c r="P55" s="3">
        <v>294</v>
      </c>
      <c r="Q55">
        <v>95</v>
      </c>
      <c r="R55">
        <v>731</v>
      </c>
      <c r="S55" s="5">
        <v>0.12995896032831739</v>
      </c>
      <c r="T55" s="5">
        <v>0.23999808001535991</v>
      </c>
      <c r="U55" s="5">
        <v>0.54149999999999998</v>
      </c>
      <c r="V55" s="3">
        <v>311</v>
      </c>
      <c r="W55" s="5">
        <v>2.3347173993466019</v>
      </c>
      <c r="X55" s="3">
        <v>2</v>
      </c>
      <c r="Y55">
        <v>8.9474</v>
      </c>
      <c r="Z55" s="3">
        <v>197</v>
      </c>
      <c r="AA55">
        <v>6</v>
      </c>
      <c r="AB55">
        <v>116</v>
      </c>
      <c r="AC55" s="5">
        <v>5.1724137931034482E-2</v>
      </c>
      <c r="AD55" s="5">
        <v>0.1</v>
      </c>
      <c r="AE55" s="5">
        <v>0.51719999999999999</v>
      </c>
      <c r="AF55" s="3">
        <v>226</v>
      </c>
      <c r="AG55" s="5">
        <v>0.32727899999999999</v>
      </c>
      <c r="AH55" s="5">
        <v>0.4</v>
      </c>
      <c r="AI55" s="5">
        <v>0.81820000000000004</v>
      </c>
      <c r="AJ55" s="3">
        <v>151</v>
      </c>
      <c r="AK55">
        <v>20</v>
      </c>
      <c r="AL55">
        <v>24</v>
      </c>
      <c r="AM55" s="5">
        <v>0.83333333333333337</v>
      </c>
      <c r="AN55" s="5">
        <v>0.8</v>
      </c>
      <c r="AO55" s="5">
        <v>1.0417000000000001</v>
      </c>
      <c r="AP55" s="3">
        <v>116</v>
      </c>
    </row>
    <row r="56" spans="1:42">
      <c r="A56" s="4" t="str">
        <f>_xlfn.XLOOKUP(Table1[[#This Row],[SAP]],'Location List'!B:B,'Location List'!G:G)</f>
        <v>DFW NORTH</v>
      </c>
      <c r="B56" s="4" t="str">
        <f>LEFT(Table1[[#This Row],[Sap: Loaction]],4)</f>
        <v>465D</v>
      </c>
      <c r="C56" t="s">
        <v>505</v>
      </c>
      <c r="D56" t="s">
        <v>570</v>
      </c>
      <c r="E56" s="3">
        <v>4</v>
      </c>
      <c r="F56" s="3">
        <v>250</v>
      </c>
      <c r="G56">
        <v>210.75</v>
      </c>
      <c r="H56" t="s">
        <v>470</v>
      </c>
      <c r="I56" s="6">
        <v>23.448799999999999</v>
      </c>
      <c r="J56" s="6">
        <v>40.001364721937897</v>
      </c>
      <c r="K56" s="5">
        <v>0.58620000000000005</v>
      </c>
      <c r="L56" s="3">
        <v>338</v>
      </c>
      <c r="M56">
        <v>148</v>
      </c>
      <c r="N56">
        <v>144.28800000000001</v>
      </c>
      <c r="O56" s="5">
        <v>1.0257000000000001</v>
      </c>
      <c r="P56" s="3">
        <v>138</v>
      </c>
      <c r="Q56">
        <v>248</v>
      </c>
      <c r="R56">
        <v>1365</v>
      </c>
      <c r="S56" s="5">
        <v>0.18168498168498168</v>
      </c>
      <c r="T56" s="5">
        <v>0.24000658082560328</v>
      </c>
      <c r="U56" s="5">
        <v>0.75700000000000001</v>
      </c>
      <c r="V56" s="3">
        <v>147</v>
      </c>
      <c r="W56" s="5">
        <v>1.0701106208443061</v>
      </c>
      <c r="X56" s="3">
        <v>202</v>
      </c>
      <c r="Y56">
        <v>8.9743999999999993</v>
      </c>
      <c r="Z56" s="3">
        <v>192</v>
      </c>
      <c r="AA56">
        <v>8</v>
      </c>
      <c r="AB56">
        <v>308</v>
      </c>
      <c r="AC56" s="5">
        <v>2.5974025974025976E-2</v>
      </c>
      <c r="AD56" s="5">
        <v>0.1</v>
      </c>
      <c r="AE56" s="5">
        <v>0.25969999999999999</v>
      </c>
      <c r="AF56" s="3">
        <v>302</v>
      </c>
      <c r="AG56" s="5">
        <v>0.26093499999999997</v>
      </c>
      <c r="AH56" s="5">
        <v>0.4</v>
      </c>
      <c r="AI56" s="5">
        <v>0.65229999999999999</v>
      </c>
      <c r="AJ56" s="3">
        <v>237</v>
      </c>
      <c r="AK56">
        <v>50</v>
      </c>
      <c r="AL56">
        <v>58</v>
      </c>
      <c r="AM56" s="5">
        <v>0.86206896551724133</v>
      </c>
      <c r="AN56" s="5">
        <v>0.8</v>
      </c>
      <c r="AO56" s="5">
        <v>1.0775999999999999</v>
      </c>
      <c r="AP56" s="3">
        <v>89</v>
      </c>
    </row>
    <row r="57" spans="1:42">
      <c r="A57" s="4" t="str">
        <f>_xlfn.XLOOKUP(Table1[[#This Row],[SAP]],'Location List'!B:B,'Location List'!G:G)</f>
        <v>KS/OK</v>
      </c>
      <c r="B57" s="4" t="str">
        <f>LEFT(Table1[[#This Row],[Sap: Loaction]],4)</f>
        <v>114E</v>
      </c>
      <c r="C57" t="s">
        <v>505</v>
      </c>
      <c r="D57" t="s">
        <v>590</v>
      </c>
      <c r="E57" s="3">
        <v>4</v>
      </c>
      <c r="F57" s="3">
        <v>251</v>
      </c>
      <c r="G57">
        <v>210.85</v>
      </c>
      <c r="H57" t="s">
        <v>470</v>
      </c>
      <c r="I57" s="6">
        <v>33.3063</v>
      </c>
      <c r="J57" s="6">
        <v>35.000315258511982</v>
      </c>
      <c r="K57" s="5">
        <v>0.9516</v>
      </c>
      <c r="L57" s="3">
        <v>203</v>
      </c>
      <c r="M57">
        <v>140</v>
      </c>
      <c r="N57">
        <v>110.11799999999999</v>
      </c>
      <c r="O57" s="5">
        <v>1.2714000000000001</v>
      </c>
      <c r="P57" s="3">
        <v>48</v>
      </c>
      <c r="Q57">
        <v>190</v>
      </c>
      <c r="R57">
        <v>1174</v>
      </c>
      <c r="S57" s="5">
        <v>0.16183986371379896</v>
      </c>
      <c r="T57" s="5">
        <v>0.24001166204033658</v>
      </c>
      <c r="U57" s="5">
        <v>0.67430000000000001</v>
      </c>
      <c r="V57" s="3">
        <v>215</v>
      </c>
      <c r="W57" s="5">
        <v>0.72869706290246228</v>
      </c>
      <c r="X57" s="3">
        <v>328</v>
      </c>
      <c r="Y57">
        <v>7.9302000000000001</v>
      </c>
      <c r="Z57" s="3">
        <v>322</v>
      </c>
      <c r="AA57">
        <v>16</v>
      </c>
      <c r="AB57">
        <v>223</v>
      </c>
      <c r="AC57" s="5">
        <v>7.1748878923766815E-2</v>
      </c>
      <c r="AD57" s="5">
        <v>0.1</v>
      </c>
      <c r="AE57" s="5">
        <v>0.71750000000000003</v>
      </c>
      <c r="AF57" s="3">
        <v>179</v>
      </c>
      <c r="AG57" s="5">
        <v>0.26895333333333332</v>
      </c>
      <c r="AH57" s="5">
        <v>0.4</v>
      </c>
      <c r="AI57" s="5">
        <v>0.6724</v>
      </c>
      <c r="AJ57" s="3">
        <v>226</v>
      </c>
      <c r="AK57">
        <v>6</v>
      </c>
      <c r="AL57">
        <v>9</v>
      </c>
      <c r="AM57" s="5">
        <v>0.66666666666666663</v>
      </c>
      <c r="AN57" s="5">
        <v>0.8</v>
      </c>
      <c r="AO57" s="5">
        <v>0.83330000000000004</v>
      </c>
      <c r="AP57" s="3">
        <v>265</v>
      </c>
    </row>
    <row r="58" spans="1:42">
      <c r="A58" s="4" t="str">
        <f>_xlfn.XLOOKUP(Table1[[#This Row],[SAP]],'Location List'!B:B,'Location List'!G:G)</f>
        <v>DFW NORTH</v>
      </c>
      <c r="B58" s="4" t="str">
        <f>LEFT(Table1[[#This Row],[Sap: Loaction]],4)</f>
        <v>1CSD</v>
      </c>
      <c r="C58" t="s">
        <v>505</v>
      </c>
      <c r="D58" t="s">
        <v>527</v>
      </c>
      <c r="E58" s="3">
        <v>4</v>
      </c>
      <c r="F58" s="3">
        <v>253</v>
      </c>
      <c r="G58">
        <v>211.2</v>
      </c>
      <c r="H58" t="s">
        <v>470</v>
      </c>
      <c r="I58" s="6">
        <v>34.004600000000003</v>
      </c>
      <c r="J58" s="6">
        <v>34.998559077809801</v>
      </c>
      <c r="K58" s="5">
        <v>0.97160000000000002</v>
      </c>
      <c r="L58" s="3">
        <v>189</v>
      </c>
      <c r="M58">
        <v>116</v>
      </c>
      <c r="N58">
        <v>142.38800000000001</v>
      </c>
      <c r="O58" s="5">
        <v>0.81469999999999998</v>
      </c>
      <c r="P58" s="3">
        <v>231</v>
      </c>
      <c r="Q58">
        <v>163</v>
      </c>
      <c r="R58">
        <v>1183</v>
      </c>
      <c r="S58" s="5">
        <v>0.13778529163144548</v>
      </c>
      <c r="T58" s="5">
        <v>0.24000224983704141</v>
      </c>
      <c r="U58" s="5">
        <v>0.57410000000000005</v>
      </c>
      <c r="V58" s="3">
        <v>293</v>
      </c>
      <c r="W58" s="5">
        <v>1.1948692971375967</v>
      </c>
      <c r="X58" s="3">
        <v>148</v>
      </c>
      <c r="Y58">
        <v>9.5676000000000005</v>
      </c>
      <c r="Z58" s="3">
        <v>49</v>
      </c>
      <c r="AA58">
        <v>8</v>
      </c>
      <c r="AB58">
        <v>185</v>
      </c>
      <c r="AC58" s="5">
        <v>4.3243243243243246E-2</v>
      </c>
      <c r="AD58" s="5">
        <v>0.1</v>
      </c>
      <c r="AE58" s="5">
        <v>0.43240000000000001</v>
      </c>
      <c r="AF58" s="3">
        <v>253</v>
      </c>
      <c r="AG58" s="5">
        <v>0.33932933333333332</v>
      </c>
      <c r="AH58" s="5">
        <v>0.4</v>
      </c>
      <c r="AI58" s="5">
        <v>0.84830000000000005</v>
      </c>
      <c r="AJ58" s="3">
        <v>123</v>
      </c>
      <c r="AK58">
        <v>21</v>
      </c>
      <c r="AL58">
        <v>50</v>
      </c>
      <c r="AM58" s="5">
        <v>0.42</v>
      </c>
      <c r="AN58" s="5">
        <v>0.8</v>
      </c>
      <c r="AO58" s="5">
        <v>0.52500000000000002</v>
      </c>
      <c r="AP58" s="3">
        <v>343</v>
      </c>
    </row>
    <row r="59" spans="1:42">
      <c r="A59" s="4" t="str">
        <f>_xlfn.XLOOKUP(Table1[[#This Row],[SAP]],'Location List'!B:B,'Location List'!G:G)</f>
        <v>DFW NORTH</v>
      </c>
      <c r="B59" s="4" t="str">
        <f>LEFT(Table1[[#This Row],[Sap: Loaction]],4)</f>
        <v>5429</v>
      </c>
      <c r="C59" t="s">
        <v>505</v>
      </c>
      <c r="D59" t="s">
        <v>595</v>
      </c>
      <c r="E59" s="3">
        <v>4</v>
      </c>
      <c r="F59" s="3">
        <v>258</v>
      </c>
      <c r="G59">
        <v>216.8</v>
      </c>
      <c r="H59" t="s">
        <v>470</v>
      </c>
      <c r="I59" s="6">
        <v>45.363700000000001</v>
      </c>
      <c r="J59" s="6">
        <v>39.999735473062337</v>
      </c>
      <c r="K59" s="5">
        <v>1.1341000000000001</v>
      </c>
      <c r="L59" s="3">
        <v>121</v>
      </c>
      <c r="M59">
        <v>199</v>
      </c>
      <c r="N59">
        <v>231.62</v>
      </c>
      <c r="O59" s="5">
        <v>0.85919999999999996</v>
      </c>
      <c r="P59" s="3">
        <v>210</v>
      </c>
      <c r="Q59">
        <v>338</v>
      </c>
      <c r="R59">
        <v>1986</v>
      </c>
      <c r="S59" s="5">
        <v>0.17019133937562941</v>
      </c>
      <c r="T59" s="5">
        <v>0.24001035026883291</v>
      </c>
      <c r="U59" s="5">
        <v>0.70909999999999995</v>
      </c>
      <c r="V59" s="3">
        <v>182</v>
      </c>
      <c r="W59" s="5">
        <v>1.0152989953487752</v>
      </c>
      <c r="X59" s="3">
        <v>218</v>
      </c>
      <c r="Y59">
        <v>9.2353000000000005</v>
      </c>
      <c r="Z59" s="3">
        <v>120</v>
      </c>
      <c r="AA59">
        <v>7</v>
      </c>
      <c r="AB59">
        <v>204</v>
      </c>
      <c r="AC59" s="5">
        <v>3.4313725490196081E-2</v>
      </c>
      <c r="AD59" s="5">
        <v>0.1</v>
      </c>
      <c r="AE59" s="5">
        <v>0.34310000000000002</v>
      </c>
      <c r="AF59" s="3">
        <v>281</v>
      </c>
      <c r="AG59" s="5">
        <v>0.21097833333333335</v>
      </c>
      <c r="AH59" s="5">
        <v>0.4</v>
      </c>
      <c r="AI59" s="5">
        <v>0.52739999999999998</v>
      </c>
      <c r="AJ59" s="3">
        <v>298</v>
      </c>
      <c r="AK59">
        <v>21</v>
      </c>
      <c r="AL59">
        <v>47</v>
      </c>
      <c r="AM59" s="5">
        <v>0.44680851063829785</v>
      </c>
      <c r="AN59" s="5">
        <v>0.8</v>
      </c>
      <c r="AO59" s="5">
        <v>0.5585</v>
      </c>
      <c r="AP59" s="3">
        <v>341</v>
      </c>
    </row>
    <row r="60" spans="1:42">
      <c r="A60" s="4" t="str">
        <f>_xlfn.XLOOKUP(Table1[[#This Row],[SAP]],'Location List'!B:B,'Location List'!G:G)</f>
        <v>CENTRAL TEXAS</v>
      </c>
      <c r="B60" s="4" t="str">
        <f>LEFT(Table1[[#This Row],[Sap: Loaction]],4)</f>
        <v>1DSF</v>
      </c>
      <c r="C60" t="s">
        <v>505</v>
      </c>
      <c r="D60" t="s">
        <v>565</v>
      </c>
      <c r="E60" s="3">
        <v>4</v>
      </c>
      <c r="F60" s="3">
        <v>259</v>
      </c>
      <c r="G60">
        <v>216.9</v>
      </c>
      <c r="H60" t="s">
        <v>470</v>
      </c>
      <c r="I60" s="6">
        <v>23.599499999999999</v>
      </c>
      <c r="J60" s="6">
        <v>34.998516980572447</v>
      </c>
      <c r="K60" s="5">
        <v>0.67430000000000001</v>
      </c>
      <c r="L60" s="3">
        <v>321</v>
      </c>
      <c r="M60">
        <v>75</v>
      </c>
      <c r="N60">
        <v>117.708</v>
      </c>
      <c r="O60" s="5">
        <v>0.63719999999999999</v>
      </c>
      <c r="P60" s="3">
        <v>310</v>
      </c>
      <c r="Q60">
        <v>159</v>
      </c>
      <c r="R60">
        <v>1184</v>
      </c>
      <c r="S60" s="5">
        <v>0.13429054054054054</v>
      </c>
      <c r="T60" s="5">
        <v>0.24001883921454967</v>
      </c>
      <c r="U60" s="5">
        <v>0.5595</v>
      </c>
      <c r="V60" s="3">
        <v>302</v>
      </c>
      <c r="W60" s="5">
        <v>0.91269727508833587</v>
      </c>
      <c r="X60" s="3">
        <v>266</v>
      </c>
      <c r="Y60">
        <v>9</v>
      </c>
      <c r="Z60" s="3">
        <v>176</v>
      </c>
      <c r="AA60">
        <v>11</v>
      </c>
      <c r="AB60">
        <v>147</v>
      </c>
      <c r="AC60" s="5">
        <v>7.4829931972789115E-2</v>
      </c>
      <c r="AD60" s="5">
        <v>0.1</v>
      </c>
      <c r="AE60" s="5">
        <v>0.74829999999999997</v>
      </c>
      <c r="AF60" s="3">
        <v>165</v>
      </c>
      <c r="AG60" s="5">
        <v>0.62333633333333338</v>
      </c>
      <c r="AH60" s="5">
        <v>0.4</v>
      </c>
      <c r="AI60" s="5">
        <v>1.5583</v>
      </c>
      <c r="AJ60" s="3">
        <v>1</v>
      </c>
      <c r="AK60">
        <v>36</v>
      </c>
      <c r="AL60">
        <v>41</v>
      </c>
      <c r="AM60" s="5">
        <v>0.87804878048780488</v>
      </c>
      <c r="AN60" s="5">
        <v>0.8</v>
      </c>
      <c r="AO60" s="5">
        <v>1.0975999999999999</v>
      </c>
      <c r="AP60" s="3">
        <v>79</v>
      </c>
    </row>
    <row r="61" spans="1:42">
      <c r="A61" s="4" t="str">
        <f>_xlfn.XLOOKUP(Table1[[#This Row],[SAP]],'Location List'!B:B,'Location List'!G:G)</f>
        <v>KS/OK</v>
      </c>
      <c r="B61" s="4" t="str">
        <f>LEFT(Table1[[#This Row],[Sap: Loaction]],4)</f>
        <v>4320</v>
      </c>
      <c r="C61" t="s">
        <v>505</v>
      </c>
      <c r="D61" t="s">
        <v>539</v>
      </c>
      <c r="E61" s="3">
        <v>4</v>
      </c>
      <c r="F61" s="3">
        <v>260</v>
      </c>
      <c r="G61">
        <v>219.4</v>
      </c>
      <c r="H61" t="s">
        <v>470</v>
      </c>
      <c r="I61" s="6">
        <v>29.728999999999999</v>
      </c>
      <c r="J61" s="6">
        <v>40.001345532831003</v>
      </c>
      <c r="K61" s="5">
        <v>0.74319999999999997</v>
      </c>
      <c r="L61" s="3">
        <v>305</v>
      </c>
      <c r="M61">
        <v>124</v>
      </c>
      <c r="N61">
        <v>190.804</v>
      </c>
      <c r="O61" s="5">
        <v>0.64990000000000003</v>
      </c>
      <c r="P61" s="3">
        <v>304</v>
      </c>
      <c r="Q61">
        <v>181</v>
      </c>
      <c r="R61">
        <v>1135</v>
      </c>
      <c r="S61" s="5">
        <v>0.15947136563876652</v>
      </c>
      <c r="T61" s="5">
        <v>0.23998700622839206</v>
      </c>
      <c r="U61" s="5">
        <v>0.66449999999999998</v>
      </c>
      <c r="V61" s="3">
        <v>225</v>
      </c>
      <c r="W61" s="5">
        <v>0.45456613284894348</v>
      </c>
      <c r="X61" s="3">
        <v>355</v>
      </c>
      <c r="Y61">
        <v>9.4749999999999996</v>
      </c>
      <c r="Z61" s="3">
        <v>61</v>
      </c>
      <c r="AA61">
        <v>13</v>
      </c>
      <c r="AB61">
        <v>171</v>
      </c>
      <c r="AC61" s="5">
        <v>7.6023391812865493E-2</v>
      </c>
      <c r="AD61" s="5">
        <v>0.1</v>
      </c>
      <c r="AE61" s="5">
        <v>0.76019999999999999</v>
      </c>
      <c r="AF61" s="3">
        <v>162</v>
      </c>
      <c r="AG61" s="5">
        <v>0.30891299999999999</v>
      </c>
      <c r="AH61" s="5">
        <v>0.4</v>
      </c>
      <c r="AI61" s="5">
        <v>0.77229999999999999</v>
      </c>
      <c r="AJ61" s="3">
        <v>171</v>
      </c>
      <c r="AK61">
        <v>36</v>
      </c>
      <c r="AL61">
        <v>43</v>
      </c>
      <c r="AM61" s="5">
        <v>0.83720930232558144</v>
      </c>
      <c r="AN61" s="5">
        <v>0.8</v>
      </c>
      <c r="AO61" s="5">
        <v>1.0465</v>
      </c>
      <c r="AP61" s="3">
        <v>113</v>
      </c>
    </row>
    <row r="62" spans="1:42">
      <c r="A62" s="4" t="str">
        <f>_xlfn.XLOOKUP(Table1[[#This Row],[SAP]],'Location List'!B:B,'Location List'!G:G)</f>
        <v>MO/IA/NE</v>
      </c>
      <c r="B62" s="4" t="str">
        <f>LEFT(Table1[[#This Row],[Sap: Loaction]],4)</f>
        <v>4BSR</v>
      </c>
      <c r="C62" t="s">
        <v>505</v>
      </c>
      <c r="D62" t="s">
        <v>577</v>
      </c>
      <c r="E62" s="3">
        <v>4</v>
      </c>
      <c r="F62" s="3">
        <v>261</v>
      </c>
      <c r="G62">
        <v>220.25</v>
      </c>
      <c r="H62" t="s">
        <v>470</v>
      </c>
      <c r="I62" s="6">
        <v>31.220400000000001</v>
      </c>
      <c r="J62" s="6">
        <v>35.000448430493272</v>
      </c>
      <c r="K62" s="5">
        <v>0.89200000000000002</v>
      </c>
      <c r="L62" s="3">
        <v>233</v>
      </c>
      <c r="M62">
        <v>95</v>
      </c>
      <c r="N62">
        <v>100.621</v>
      </c>
      <c r="O62" s="5">
        <v>0.94410000000000005</v>
      </c>
      <c r="P62" s="3">
        <v>168</v>
      </c>
      <c r="Q62">
        <v>165</v>
      </c>
      <c r="R62">
        <v>1513</v>
      </c>
      <c r="S62" s="5">
        <v>0.10905485789821547</v>
      </c>
      <c r="T62" s="5">
        <v>0.23999748657177697</v>
      </c>
      <c r="U62" s="5">
        <v>0.45440000000000003</v>
      </c>
      <c r="V62" s="3">
        <v>346</v>
      </c>
      <c r="W62" s="5">
        <v>1.4283533158933284</v>
      </c>
      <c r="X62" s="3">
        <v>62</v>
      </c>
      <c r="Y62">
        <v>9.25</v>
      </c>
      <c r="Z62" s="3">
        <v>116</v>
      </c>
      <c r="AA62">
        <v>4</v>
      </c>
      <c r="AB62">
        <v>221</v>
      </c>
      <c r="AC62" s="5">
        <v>1.8099547511312219E-2</v>
      </c>
      <c r="AD62" s="5">
        <v>0.1</v>
      </c>
      <c r="AE62" s="5">
        <v>0.18099999999999999</v>
      </c>
      <c r="AF62" s="3">
        <v>322</v>
      </c>
      <c r="AG62" s="5">
        <v>0.27149833333333334</v>
      </c>
      <c r="AH62" s="5">
        <v>0.4</v>
      </c>
      <c r="AI62" s="5">
        <v>0.67869999999999997</v>
      </c>
      <c r="AJ62" s="3">
        <v>221</v>
      </c>
      <c r="AK62">
        <v>32</v>
      </c>
      <c r="AL62">
        <v>43</v>
      </c>
      <c r="AM62" s="5">
        <v>0.7441860465116279</v>
      </c>
      <c r="AN62" s="5">
        <v>0.8</v>
      </c>
      <c r="AO62" s="5">
        <v>0.93020000000000003</v>
      </c>
      <c r="AP62" s="3">
        <v>200</v>
      </c>
    </row>
    <row r="63" spans="1:42">
      <c r="A63" s="4" t="str">
        <f>_xlfn.XLOOKUP(Table1[[#This Row],[SAP]],'Location List'!B:B,'Location List'!G:G)</f>
        <v>DFW NORTH</v>
      </c>
      <c r="B63" s="4" t="str">
        <f>LEFT(Table1[[#This Row],[Sap: Loaction]],4)</f>
        <v>924C</v>
      </c>
      <c r="C63" t="s">
        <v>505</v>
      </c>
      <c r="D63" t="s">
        <v>578</v>
      </c>
      <c r="E63" s="3">
        <v>4</v>
      </c>
      <c r="F63" s="3">
        <v>263</v>
      </c>
      <c r="G63">
        <v>220.55</v>
      </c>
      <c r="H63" t="s">
        <v>470</v>
      </c>
      <c r="I63" s="6">
        <v>51.214199999999998</v>
      </c>
      <c r="J63" s="6">
        <v>39.998594189315838</v>
      </c>
      <c r="K63" s="5">
        <v>1.2804</v>
      </c>
      <c r="L63" s="3">
        <v>67</v>
      </c>
      <c r="M63">
        <v>97</v>
      </c>
      <c r="N63">
        <v>144.285</v>
      </c>
      <c r="O63" s="5">
        <v>0.67230000000000001</v>
      </c>
      <c r="P63" s="3">
        <v>292</v>
      </c>
      <c r="Q63">
        <v>171</v>
      </c>
      <c r="R63">
        <v>1193</v>
      </c>
      <c r="S63" s="5">
        <v>0.14333612740989102</v>
      </c>
      <c r="T63" s="5">
        <v>0.24001360919271772</v>
      </c>
      <c r="U63" s="5">
        <v>0.59719999999999995</v>
      </c>
      <c r="V63" s="3">
        <v>276</v>
      </c>
      <c r="W63" s="5">
        <v>1.1783782061494343</v>
      </c>
      <c r="X63" s="3">
        <v>154</v>
      </c>
      <c r="Y63">
        <v>9.1064000000000007</v>
      </c>
      <c r="Z63" s="3">
        <v>151</v>
      </c>
      <c r="AA63">
        <v>5</v>
      </c>
      <c r="AB63">
        <v>204</v>
      </c>
      <c r="AC63" s="5">
        <v>2.4509803921568627E-2</v>
      </c>
      <c r="AD63" s="5">
        <v>0.1</v>
      </c>
      <c r="AE63" s="5">
        <v>0.24510000000000001</v>
      </c>
      <c r="AF63" s="3">
        <v>304</v>
      </c>
      <c r="AG63" s="5">
        <v>0.21481466666666668</v>
      </c>
      <c r="AH63" s="5">
        <v>0.4</v>
      </c>
      <c r="AI63" s="5">
        <v>0.53700000000000003</v>
      </c>
      <c r="AJ63" s="3">
        <v>292</v>
      </c>
      <c r="AK63">
        <v>32</v>
      </c>
      <c r="AL63">
        <v>43</v>
      </c>
      <c r="AM63" s="5">
        <v>0.7441860465116279</v>
      </c>
      <c r="AN63" s="5">
        <v>0.8</v>
      </c>
      <c r="AO63" s="5">
        <v>0.93020000000000003</v>
      </c>
      <c r="AP63" s="3">
        <v>200</v>
      </c>
    </row>
    <row r="64" spans="1:42">
      <c r="A64" s="4" t="str">
        <f>_xlfn.XLOOKUP(Table1[[#This Row],[SAP]],'Location List'!B:B,'Location List'!G:G)</f>
        <v>DFW EAST</v>
      </c>
      <c r="B64" s="4" t="str">
        <f>LEFT(Table1[[#This Row],[Sap: Loaction]],4)</f>
        <v>0118</v>
      </c>
      <c r="C64" t="s">
        <v>505</v>
      </c>
      <c r="D64" t="s">
        <v>550</v>
      </c>
      <c r="E64" s="3">
        <v>4</v>
      </c>
      <c r="F64" s="3">
        <v>268</v>
      </c>
      <c r="G64">
        <v>222.55</v>
      </c>
      <c r="H64" t="s">
        <v>470</v>
      </c>
      <c r="I64" s="6">
        <v>42.422800000000002</v>
      </c>
      <c r="J64" s="6">
        <v>39.998868564963232</v>
      </c>
      <c r="K64" s="5">
        <v>1.0606</v>
      </c>
      <c r="L64" s="3">
        <v>150</v>
      </c>
      <c r="M64">
        <v>212</v>
      </c>
      <c r="N64">
        <v>234.47</v>
      </c>
      <c r="O64" s="5">
        <v>0.9042</v>
      </c>
      <c r="P64" s="3">
        <v>191</v>
      </c>
      <c r="Q64">
        <v>289</v>
      </c>
      <c r="R64">
        <v>1633</v>
      </c>
      <c r="S64" s="5">
        <v>0.17697489283527251</v>
      </c>
      <c r="T64" s="5">
        <v>0.23999849855610592</v>
      </c>
      <c r="U64" s="5">
        <v>0.73740000000000006</v>
      </c>
      <c r="V64" s="3">
        <v>165</v>
      </c>
      <c r="W64" s="5">
        <v>0.88465674484031986</v>
      </c>
      <c r="X64" s="3">
        <v>279</v>
      </c>
      <c r="Y64">
        <v>8.7941000000000003</v>
      </c>
      <c r="Z64" s="3">
        <v>229</v>
      </c>
      <c r="AA64">
        <v>2</v>
      </c>
      <c r="AB64">
        <v>247</v>
      </c>
      <c r="AC64" s="5">
        <v>8.0971659919028341E-3</v>
      </c>
      <c r="AD64" s="5">
        <v>0.1</v>
      </c>
      <c r="AE64" s="5">
        <v>8.1000000000000003E-2</v>
      </c>
      <c r="AF64" s="3">
        <v>345</v>
      </c>
      <c r="AG64" s="5">
        <v>0.21165666666666669</v>
      </c>
      <c r="AH64" s="5">
        <v>0.4</v>
      </c>
      <c r="AI64" s="5">
        <v>0.52910000000000001</v>
      </c>
      <c r="AJ64" s="3">
        <v>297</v>
      </c>
      <c r="AK64">
        <v>34</v>
      </c>
      <c r="AL64">
        <v>42</v>
      </c>
      <c r="AM64" s="5">
        <v>0.80952380952380953</v>
      </c>
      <c r="AN64" s="5">
        <v>0.8</v>
      </c>
      <c r="AO64" s="5">
        <v>1.0119</v>
      </c>
      <c r="AP64" s="3">
        <v>144</v>
      </c>
    </row>
    <row r="65" spans="1:42">
      <c r="A65" s="4" t="str">
        <f>_xlfn.XLOOKUP(Table1[[#This Row],[SAP]],'Location List'!B:B,'Location List'!G:G)</f>
        <v>CENTRAL TEXAS</v>
      </c>
      <c r="B65" s="4" t="str">
        <f>LEFT(Table1[[#This Row],[Sap: Loaction]],4)</f>
        <v>1FSS</v>
      </c>
      <c r="C65" t="s">
        <v>505</v>
      </c>
      <c r="D65" t="s">
        <v>559</v>
      </c>
      <c r="E65" s="3">
        <v>4</v>
      </c>
      <c r="F65" s="3">
        <v>269</v>
      </c>
      <c r="G65">
        <v>223.85</v>
      </c>
      <c r="H65" t="s">
        <v>470</v>
      </c>
      <c r="I65" s="6">
        <v>17.1785</v>
      </c>
      <c r="J65" s="6">
        <v>30.000873209919664</v>
      </c>
      <c r="K65" s="5">
        <v>0.5726</v>
      </c>
      <c r="L65" s="3">
        <v>340</v>
      </c>
      <c r="M65">
        <v>67</v>
      </c>
      <c r="N65">
        <v>90.179000000000002</v>
      </c>
      <c r="O65" s="5">
        <v>0.74299999999999999</v>
      </c>
      <c r="P65" s="3">
        <v>271</v>
      </c>
      <c r="Q65">
        <v>105</v>
      </c>
      <c r="R65">
        <v>461</v>
      </c>
      <c r="S65" s="5">
        <v>0.22776572668112799</v>
      </c>
      <c r="T65" s="5">
        <v>0.24000603443743732</v>
      </c>
      <c r="U65" s="5">
        <v>0.94899999999999995</v>
      </c>
      <c r="V65" s="3">
        <v>58</v>
      </c>
      <c r="W65" s="5">
        <v>0.62726175243882853</v>
      </c>
      <c r="X65" s="3">
        <v>342</v>
      </c>
      <c r="Y65">
        <v>9.4230999999999998</v>
      </c>
      <c r="Z65" s="3">
        <v>76</v>
      </c>
      <c r="AA65">
        <v>2</v>
      </c>
      <c r="AB65">
        <v>94</v>
      </c>
      <c r="AC65" s="5">
        <v>2.1276595744680851E-2</v>
      </c>
      <c r="AD65" s="5">
        <v>0.1</v>
      </c>
      <c r="AE65" s="5">
        <v>0.21279999999999999</v>
      </c>
      <c r="AF65" s="3">
        <v>314</v>
      </c>
      <c r="AG65" s="5">
        <v>0.21904733333333334</v>
      </c>
      <c r="AH65" s="5">
        <v>0.4</v>
      </c>
      <c r="AI65" s="5">
        <v>0.54759999999999998</v>
      </c>
      <c r="AJ65" s="3">
        <v>286</v>
      </c>
      <c r="AK65">
        <v>19</v>
      </c>
      <c r="AL65">
        <v>21</v>
      </c>
      <c r="AM65" s="5">
        <v>0.90476190476190477</v>
      </c>
      <c r="AN65" s="5">
        <v>0.8</v>
      </c>
      <c r="AO65" s="5">
        <v>1.131</v>
      </c>
      <c r="AP65" s="3">
        <v>60</v>
      </c>
    </row>
    <row r="66" spans="1:42">
      <c r="A66" s="4" t="str">
        <f>_xlfn.XLOOKUP(Table1[[#This Row],[SAP]],'Location List'!B:B,'Location List'!G:G)</f>
        <v>WEST TEXAS</v>
      </c>
      <c r="B66" s="4" t="str">
        <f>LEFT(Table1[[#This Row],[Sap: Loaction]],4)</f>
        <v>922E</v>
      </c>
      <c r="C66" t="s">
        <v>505</v>
      </c>
      <c r="D66" t="s">
        <v>574</v>
      </c>
      <c r="E66" s="3">
        <v>4</v>
      </c>
      <c r="F66" s="3">
        <v>273</v>
      </c>
      <c r="G66">
        <v>225.1</v>
      </c>
      <c r="H66" t="s">
        <v>470</v>
      </c>
      <c r="I66" s="6">
        <v>98.443299999999994</v>
      </c>
      <c r="J66" s="6">
        <v>39.999715574336676</v>
      </c>
      <c r="K66" s="5">
        <v>2.4611000000000001</v>
      </c>
      <c r="L66" s="3">
        <v>3</v>
      </c>
      <c r="M66">
        <v>144</v>
      </c>
      <c r="N66">
        <v>174.661</v>
      </c>
      <c r="O66" s="5">
        <v>0.82450000000000001</v>
      </c>
      <c r="P66" s="3">
        <v>226</v>
      </c>
      <c r="Q66">
        <v>222</v>
      </c>
      <c r="R66">
        <v>1623</v>
      </c>
      <c r="S66" s="5">
        <v>0.1367837338262477</v>
      </c>
      <c r="T66" s="5">
        <v>0.240013570497013</v>
      </c>
      <c r="U66" s="5">
        <v>0.56989999999999996</v>
      </c>
      <c r="V66" s="3">
        <v>297</v>
      </c>
      <c r="W66" s="5">
        <v>0.75468337588575474</v>
      </c>
      <c r="X66" s="3">
        <v>321</v>
      </c>
      <c r="Y66">
        <v>8.1738999999999997</v>
      </c>
      <c r="Z66" s="3">
        <v>309</v>
      </c>
      <c r="AA66">
        <v>2</v>
      </c>
      <c r="AB66">
        <v>195</v>
      </c>
      <c r="AC66" s="5">
        <v>1.0256410256410256E-2</v>
      </c>
      <c r="AD66" s="5">
        <v>0.1</v>
      </c>
      <c r="AE66" s="5">
        <v>0.1026</v>
      </c>
      <c r="AF66" s="3">
        <v>338</v>
      </c>
      <c r="AG66" s="5">
        <v>0.30815433333333336</v>
      </c>
      <c r="AH66" s="5">
        <v>0.4</v>
      </c>
      <c r="AI66" s="5">
        <v>0.77039999999999997</v>
      </c>
      <c r="AJ66" s="3">
        <v>172</v>
      </c>
      <c r="AK66">
        <v>36</v>
      </c>
      <c r="AL66">
        <v>45</v>
      </c>
      <c r="AM66" s="5">
        <v>0.8</v>
      </c>
      <c r="AN66" s="5">
        <v>0.8</v>
      </c>
      <c r="AO66" s="5">
        <v>1</v>
      </c>
      <c r="AP66" s="3">
        <v>153</v>
      </c>
    </row>
    <row r="67" spans="1:42">
      <c r="A67" s="4" t="str">
        <f>_xlfn.XLOOKUP(Table1[[#This Row],[SAP]],'Location List'!B:B,'Location List'!G:G)</f>
        <v>MO/IA/NE</v>
      </c>
      <c r="B67" s="4" t="str">
        <f>LEFT(Table1[[#This Row],[Sap: Loaction]],4)</f>
        <v>4ASA</v>
      </c>
      <c r="C67" t="s">
        <v>505</v>
      </c>
      <c r="D67" t="s">
        <v>569</v>
      </c>
      <c r="E67" s="3">
        <v>4</v>
      </c>
      <c r="F67" s="3">
        <v>274</v>
      </c>
      <c r="G67">
        <v>225.4</v>
      </c>
      <c r="H67" t="s">
        <v>470</v>
      </c>
      <c r="I67" s="6">
        <v>40.494399999999999</v>
      </c>
      <c r="J67" s="6">
        <v>39.998419596997238</v>
      </c>
      <c r="K67" s="5">
        <v>1.0124</v>
      </c>
      <c r="L67" s="3">
        <v>169</v>
      </c>
      <c r="M67">
        <v>158</v>
      </c>
      <c r="N67">
        <v>112.015</v>
      </c>
      <c r="O67" s="5">
        <v>1.4105000000000001</v>
      </c>
      <c r="P67" s="3">
        <v>25</v>
      </c>
      <c r="Q67">
        <v>264</v>
      </c>
      <c r="R67">
        <v>2327</v>
      </c>
      <c r="S67" s="5">
        <v>0.11345079501504082</v>
      </c>
      <c r="T67" s="5">
        <v>0.2400059128729444</v>
      </c>
      <c r="U67" s="5">
        <v>0.47270000000000001</v>
      </c>
      <c r="V67" s="3">
        <v>339</v>
      </c>
      <c r="W67" s="5">
        <v>1.1511033920124782</v>
      </c>
      <c r="X67" s="3">
        <v>161</v>
      </c>
      <c r="Y67">
        <v>9.1111000000000004</v>
      </c>
      <c r="Z67" s="3">
        <v>149</v>
      </c>
      <c r="AA67">
        <v>2</v>
      </c>
      <c r="AB67">
        <v>348</v>
      </c>
      <c r="AC67" s="5">
        <v>5.7471264367816091E-3</v>
      </c>
      <c r="AD67" s="5">
        <v>0.1</v>
      </c>
      <c r="AE67" s="5">
        <v>5.7500000000000002E-2</v>
      </c>
      <c r="AF67" s="3">
        <v>349</v>
      </c>
      <c r="AG67" s="5">
        <v>0.16635900000000001</v>
      </c>
      <c r="AH67" s="5">
        <v>0.4</v>
      </c>
      <c r="AI67" s="5">
        <v>0.41589999999999999</v>
      </c>
      <c r="AJ67" s="3">
        <v>335</v>
      </c>
      <c r="AK67">
        <v>22</v>
      </c>
      <c r="AL67">
        <v>35</v>
      </c>
      <c r="AM67" s="5">
        <v>0.62857142857142856</v>
      </c>
      <c r="AN67" s="5">
        <v>0.8</v>
      </c>
      <c r="AO67" s="5">
        <v>0.78569999999999995</v>
      </c>
      <c r="AP67" s="3">
        <v>286</v>
      </c>
    </row>
    <row r="68" spans="1:42">
      <c r="A68" s="4" t="str">
        <f>_xlfn.XLOOKUP(Table1[[#This Row],[SAP]],'Location List'!B:B,'Location List'!G:G)</f>
        <v>MO/IA/NE</v>
      </c>
      <c r="B68" s="4" t="str">
        <f>LEFT(Table1[[#This Row],[Sap: Loaction]],4)</f>
        <v>4BSM</v>
      </c>
      <c r="C68" t="s">
        <v>505</v>
      </c>
      <c r="D68" t="s">
        <v>548</v>
      </c>
      <c r="E68" s="3">
        <v>4</v>
      </c>
      <c r="F68" s="3">
        <v>278</v>
      </c>
      <c r="G68">
        <v>226.85</v>
      </c>
      <c r="H68" t="s">
        <v>470</v>
      </c>
      <c r="I68" s="6">
        <v>24.563500000000001</v>
      </c>
      <c r="J68" s="6">
        <v>29.999389350268689</v>
      </c>
      <c r="K68" s="5">
        <v>0.81879999999999997</v>
      </c>
      <c r="L68" s="3">
        <v>271</v>
      </c>
      <c r="M68">
        <v>86</v>
      </c>
      <c r="N68">
        <v>83.534000000000006</v>
      </c>
      <c r="O68" s="5">
        <v>1.0295000000000001</v>
      </c>
      <c r="P68" s="3">
        <v>135</v>
      </c>
      <c r="Q68">
        <v>146</v>
      </c>
      <c r="R68">
        <v>884</v>
      </c>
      <c r="S68" s="5">
        <v>0.16515837104072398</v>
      </c>
      <c r="T68" s="5">
        <v>0.23998600848695723</v>
      </c>
      <c r="U68" s="5">
        <v>0.68820000000000003</v>
      </c>
      <c r="V68" s="3">
        <v>202</v>
      </c>
      <c r="W68" s="5">
        <v>2.3364634905404982</v>
      </c>
      <c r="X68" s="3">
        <v>1</v>
      </c>
      <c r="Y68">
        <v>7.5625</v>
      </c>
      <c r="Z68" s="3">
        <v>344</v>
      </c>
      <c r="AA68">
        <v>4</v>
      </c>
      <c r="AB68">
        <v>199</v>
      </c>
      <c r="AC68" s="5">
        <v>2.0100502512562814E-2</v>
      </c>
      <c r="AD68" s="5">
        <v>0.1</v>
      </c>
      <c r="AE68" s="5">
        <v>0.20100000000000001</v>
      </c>
      <c r="AF68" s="3">
        <v>317</v>
      </c>
      <c r="AG68" s="5">
        <v>0.15238066666666666</v>
      </c>
      <c r="AH68" s="5">
        <v>0.4</v>
      </c>
      <c r="AI68" s="5">
        <v>0.38100000000000001</v>
      </c>
      <c r="AJ68" s="3">
        <v>343</v>
      </c>
      <c r="AK68">
        <v>21</v>
      </c>
      <c r="AL68">
        <v>28</v>
      </c>
      <c r="AM68" s="5">
        <v>0.75</v>
      </c>
      <c r="AN68" s="5">
        <v>0.8</v>
      </c>
      <c r="AO68" s="5">
        <v>0.9375</v>
      </c>
      <c r="AP68" s="3">
        <v>193</v>
      </c>
    </row>
    <row r="69" spans="1:42">
      <c r="A69" s="4" t="str">
        <f>_xlfn.XLOOKUP(Table1[[#This Row],[SAP]],'Location List'!B:B,'Location List'!G:G)</f>
        <v>SA SOUTH</v>
      </c>
      <c r="B69" s="4" t="str">
        <f>LEFT(Table1[[#This Row],[Sap: Loaction]],4)</f>
        <v>584D</v>
      </c>
      <c r="C69" t="s">
        <v>505</v>
      </c>
      <c r="D69" t="s">
        <v>598</v>
      </c>
      <c r="E69" s="3">
        <v>4</v>
      </c>
      <c r="F69" s="3">
        <v>279</v>
      </c>
      <c r="G69">
        <v>227.2</v>
      </c>
      <c r="H69" t="s">
        <v>470</v>
      </c>
      <c r="I69" s="6">
        <v>28.027699999999999</v>
      </c>
      <c r="J69" s="6">
        <v>34.999625374625374</v>
      </c>
      <c r="K69" s="5">
        <v>0.80079999999999996</v>
      </c>
      <c r="L69" s="3">
        <v>282</v>
      </c>
      <c r="M69">
        <v>101</v>
      </c>
      <c r="N69">
        <v>130.04900000000001</v>
      </c>
      <c r="O69" s="5">
        <v>0.77659999999999996</v>
      </c>
      <c r="P69" s="3">
        <v>255</v>
      </c>
      <c r="Q69">
        <v>138</v>
      </c>
      <c r="R69">
        <v>798</v>
      </c>
      <c r="S69" s="5">
        <v>0.17293233082706766</v>
      </c>
      <c r="T69" s="5">
        <v>0.23998380631011332</v>
      </c>
      <c r="U69" s="5">
        <v>0.72060000000000002</v>
      </c>
      <c r="V69" s="3">
        <v>176</v>
      </c>
      <c r="W69" s="5">
        <v>0.74393388495997192</v>
      </c>
      <c r="X69" s="3">
        <v>324</v>
      </c>
      <c r="Y69">
        <v>8.6</v>
      </c>
      <c r="Z69" s="3">
        <v>269</v>
      </c>
      <c r="AA69">
        <v>9</v>
      </c>
      <c r="AB69">
        <v>66</v>
      </c>
      <c r="AC69" s="5">
        <v>0.13636363636363635</v>
      </c>
      <c r="AD69" s="5">
        <v>0.1</v>
      </c>
      <c r="AE69" s="5">
        <v>1.3635999999999999</v>
      </c>
      <c r="AF69" s="3">
        <v>59</v>
      </c>
      <c r="AG69" s="5">
        <v>0.25589200000000001</v>
      </c>
      <c r="AH69" s="5">
        <v>0.4</v>
      </c>
      <c r="AI69" s="5">
        <v>0.63970000000000005</v>
      </c>
      <c r="AJ69" s="3">
        <v>241</v>
      </c>
      <c r="AK69">
        <v>14</v>
      </c>
      <c r="AL69">
        <v>22</v>
      </c>
      <c r="AM69" s="5">
        <v>0.63636363636363635</v>
      </c>
      <c r="AN69" s="5">
        <v>0.8</v>
      </c>
      <c r="AO69" s="5">
        <v>0.79549999999999998</v>
      </c>
      <c r="AP69" s="3">
        <v>280</v>
      </c>
    </row>
    <row r="70" spans="1:42">
      <c r="A70" s="4" t="str">
        <f>_xlfn.XLOOKUP(Table1[[#This Row],[SAP]],'Location List'!B:B,'Location List'!G:G)</f>
        <v>DFW NORTH</v>
      </c>
      <c r="B70" s="4" t="str">
        <f>LEFT(Table1[[#This Row],[Sap: Loaction]],4)</f>
        <v>211E</v>
      </c>
      <c r="C70" t="s">
        <v>505</v>
      </c>
      <c r="D70" t="s">
        <v>576</v>
      </c>
      <c r="E70" s="3">
        <v>4</v>
      </c>
      <c r="F70" s="3">
        <v>283</v>
      </c>
      <c r="G70">
        <v>227.95</v>
      </c>
      <c r="H70" t="s">
        <v>470</v>
      </c>
      <c r="I70" s="6">
        <v>42.130099999999999</v>
      </c>
      <c r="J70" s="6">
        <v>35.000498463072191</v>
      </c>
      <c r="K70" s="5">
        <v>1.2037</v>
      </c>
      <c r="L70" s="3">
        <v>95</v>
      </c>
      <c r="M70">
        <v>122</v>
      </c>
      <c r="N70">
        <v>137.64500000000001</v>
      </c>
      <c r="O70" s="5">
        <v>0.88629999999999998</v>
      </c>
      <c r="P70" s="3">
        <v>198</v>
      </c>
      <c r="Q70">
        <v>200</v>
      </c>
      <c r="R70">
        <v>1583</v>
      </c>
      <c r="S70" s="5">
        <v>0.12634238787113075</v>
      </c>
      <c r="T70" s="5">
        <v>0.24001213501354626</v>
      </c>
      <c r="U70" s="5">
        <v>0.52639999999999998</v>
      </c>
      <c r="V70" s="3">
        <v>318</v>
      </c>
      <c r="W70" s="5">
        <v>1.0712655264740423</v>
      </c>
      <c r="X70" s="3">
        <v>201</v>
      </c>
      <c r="Y70">
        <v>8.6976999999999993</v>
      </c>
      <c r="Z70" s="3">
        <v>249</v>
      </c>
      <c r="AA70">
        <v>4</v>
      </c>
      <c r="AB70">
        <v>298</v>
      </c>
      <c r="AC70" s="5">
        <v>1.3422818791946308E-2</v>
      </c>
      <c r="AD70" s="5">
        <v>0.1</v>
      </c>
      <c r="AE70" s="5">
        <v>0.13420000000000001</v>
      </c>
      <c r="AF70" s="3">
        <v>336</v>
      </c>
      <c r="AG70" s="5">
        <v>0.28381899999999999</v>
      </c>
      <c r="AH70" s="5">
        <v>0.4</v>
      </c>
      <c r="AI70" s="5">
        <v>0.70950000000000002</v>
      </c>
      <c r="AJ70" s="3">
        <v>205</v>
      </c>
      <c r="AK70">
        <v>26</v>
      </c>
      <c r="AL70">
        <v>35</v>
      </c>
      <c r="AM70" s="5">
        <v>0.74285714285714288</v>
      </c>
      <c r="AN70" s="5">
        <v>0.8</v>
      </c>
      <c r="AO70" s="5">
        <v>0.92859999999999998</v>
      </c>
      <c r="AP70" s="3">
        <v>204</v>
      </c>
    </row>
    <row r="71" spans="1:42">
      <c r="A71" s="4" t="str">
        <f>_xlfn.XLOOKUP(Table1[[#This Row],[SAP]],'Location List'!B:B,'Location List'!G:G)</f>
        <v>DFW EAST</v>
      </c>
      <c r="B71" s="4" t="str">
        <f>LEFT(Table1[[#This Row],[Sap: Loaction]],4)</f>
        <v>618E</v>
      </c>
      <c r="C71" t="s">
        <v>505</v>
      </c>
      <c r="D71" t="s">
        <v>529</v>
      </c>
      <c r="E71" s="3">
        <v>4</v>
      </c>
      <c r="F71" s="3">
        <v>284</v>
      </c>
      <c r="G71">
        <v>229</v>
      </c>
      <c r="H71" t="s">
        <v>470</v>
      </c>
      <c r="I71" s="6">
        <v>22.8767</v>
      </c>
      <c r="J71" s="6">
        <v>29.998295305533702</v>
      </c>
      <c r="K71" s="5">
        <v>0.76259999999999994</v>
      </c>
      <c r="L71" s="3">
        <v>299</v>
      </c>
      <c r="M71">
        <v>74</v>
      </c>
      <c r="N71">
        <v>98.721000000000004</v>
      </c>
      <c r="O71" s="5">
        <v>0.74960000000000004</v>
      </c>
      <c r="P71" s="3">
        <v>268</v>
      </c>
      <c r="Q71">
        <v>105</v>
      </c>
      <c r="R71">
        <v>638</v>
      </c>
      <c r="S71" s="5">
        <v>0.16457680250783699</v>
      </c>
      <c r="T71" s="5">
        <v>0.24001283725803849</v>
      </c>
      <c r="U71" s="5">
        <v>0.68569999999999998</v>
      </c>
      <c r="V71" s="3">
        <v>203</v>
      </c>
      <c r="W71" s="5">
        <v>0.93484710464472376</v>
      </c>
      <c r="X71" s="3">
        <v>251</v>
      </c>
      <c r="Y71">
        <v>9.2777999999999992</v>
      </c>
      <c r="Z71" s="3">
        <v>108</v>
      </c>
      <c r="AA71">
        <v>3</v>
      </c>
      <c r="AB71">
        <v>65</v>
      </c>
      <c r="AC71" s="5">
        <v>4.6153846153846156E-2</v>
      </c>
      <c r="AD71" s="5">
        <v>0.1</v>
      </c>
      <c r="AE71" s="5">
        <v>0.46150000000000002</v>
      </c>
      <c r="AF71" s="3">
        <v>244</v>
      </c>
      <c r="AG71" s="5">
        <v>0.32932666666666666</v>
      </c>
      <c r="AH71" s="5">
        <v>0.4</v>
      </c>
      <c r="AI71" s="5">
        <v>0.82330000000000003</v>
      </c>
      <c r="AJ71" s="3">
        <v>145</v>
      </c>
      <c r="AK71">
        <v>18</v>
      </c>
      <c r="AL71">
        <v>27</v>
      </c>
      <c r="AM71" s="5">
        <v>0.66666666666666663</v>
      </c>
      <c r="AN71" s="5">
        <v>0.8</v>
      </c>
      <c r="AO71" s="5">
        <v>0.83330000000000004</v>
      </c>
      <c r="AP71" s="3">
        <v>265</v>
      </c>
    </row>
    <row r="72" spans="1:42">
      <c r="A72" s="4" t="str">
        <f>_xlfn.XLOOKUP(Table1[[#This Row],[SAP]],'Location List'!B:B,'Location List'!G:G)</f>
        <v>SOUTH TX/RGV</v>
      </c>
      <c r="B72" s="4" t="str">
        <f>LEFT(Table1[[#This Row],[Sap: Loaction]],4)</f>
        <v>216E</v>
      </c>
      <c r="C72" t="s">
        <v>505</v>
      </c>
      <c r="D72" t="s">
        <v>579</v>
      </c>
      <c r="E72" s="3">
        <v>4</v>
      </c>
      <c r="F72" s="3">
        <v>285</v>
      </c>
      <c r="G72">
        <v>229.45</v>
      </c>
      <c r="H72" t="s">
        <v>470</v>
      </c>
      <c r="I72" s="6">
        <v>38.5246</v>
      </c>
      <c r="J72" s="6">
        <v>40.000622988267054</v>
      </c>
      <c r="K72" s="5">
        <v>0.96309999999999996</v>
      </c>
      <c r="L72" s="3">
        <v>193</v>
      </c>
      <c r="M72">
        <v>122</v>
      </c>
      <c r="N72">
        <v>186.054</v>
      </c>
      <c r="O72" s="5">
        <v>0.65569999999999995</v>
      </c>
      <c r="P72" s="3">
        <v>300</v>
      </c>
      <c r="Q72">
        <v>257</v>
      </c>
      <c r="R72">
        <v>1507</v>
      </c>
      <c r="S72" s="5">
        <v>0.17053749170537491</v>
      </c>
      <c r="T72" s="5">
        <v>0.23999084112774402</v>
      </c>
      <c r="U72" s="5">
        <v>0.71060000000000001</v>
      </c>
      <c r="V72" s="3">
        <v>181</v>
      </c>
      <c r="W72" s="5">
        <v>0.79195003830479183</v>
      </c>
      <c r="X72" s="3">
        <v>309</v>
      </c>
      <c r="Y72">
        <v>9.1199999999999992</v>
      </c>
      <c r="Z72" s="3">
        <v>146</v>
      </c>
      <c r="AA72">
        <v>8</v>
      </c>
      <c r="AB72">
        <v>268</v>
      </c>
      <c r="AC72" s="5">
        <v>2.9850746268656716E-2</v>
      </c>
      <c r="AD72" s="5">
        <v>0.1</v>
      </c>
      <c r="AE72" s="5">
        <v>0.29849999999999999</v>
      </c>
      <c r="AF72" s="3">
        <v>291</v>
      </c>
      <c r="AG72" s="5">
        <v>0.34530133333333329</v>
      </c>
      <c r="AH72" s="5">
        <v>0.4</v>
      </c>
      <c r="AI72" s="5">
        <v>0.86329999999999996</v>
      </c>
      <c r="AJ72" s="3">
        <v>118</v>
      </c>
      <c r="AK72">
        <v>25</v>
      </c>
      <c r="AL72">
        <v>38</v>
      </c>
      <c r="AM72" s="5">
        <v>0.65789473684210531</v>
      </c>
      <c r="AN72" s="5">
        <v>0.8</v>
      </c>
      <c r="AO72" s="5">
        <v>0.82240000000000002</v>
      </c>
      <c r="AP72" s="3">
        <v>274</v>
      </c>
    </row>
    <row r="73" spans="1:42">
      <c r="A73" s="4" t="str">
        <f>_xlfn.XLOOKUP(Table1[[#This Row],[SAP]],'Location List'!B:B,'Location List'!G:G)</f>
        <v>SA SOUTH</v>
      </c>
      <c r="B73" s="4" t="str">
        <f>LEFT(Table1[[#This Row],[Sap: Loaction]],4)</f>
        <v>1ESF</v>
      </c>
      <c r="C73" t="s">
        <v>505</v>
      </c>
      <c r="D73" t="s">
        <v>587</v>
      </c>
      <c r="E73" s="3">
        <v>5</v>
      </c>
      <c r="F73" s="3">
        <v>290</v>
      </c>
      <c r="G73">
        <v>233.25</v>
      </c>
      <c r="H73" t="s">
        <v>470</v>
      </c>
      <c r="I73" s="6">
        <v>19.247900000000001</v>
      </c>
      <c r="J73" s="6">
        <v>39.999792186201162</v>
      </c>
      <c r="K73" s="5">
        <v>0.48120000000000002</v>
      </c>
      <c r="L73" s="3">
        <v>347</v>
      </c>
      <c r="M73">
        <v>118</v>
      </c>
      <c r="N73">
        <v>251.55500000000001</v>
      </c>
      <c r="O73" s="5">
        <v>0.46910000000000002</v>
      </c>
      <c r="P73" s="3">
        <v>339</v>
      </c>
      <c r="Q73">
        <v>259</v>
      </c>
      <c r="R73">
        <v>1764</v>
      </c>
      <c r="S73" s="5">
        <v>0.14682539682539683</v>
      </c>
      <c r="T73" s="5">
        <v>0.23998920697188106</v>
      </c>
      <c r="U73" s="5">
        <v>0.61180000000000001</v>
      </c>
      <c r="V73" s="3">
        <v>264</v>
      </c>
      <c r="W73" s="5">
        <v>0.66698102847988849</v>
      </c>
      <c r="X73" s="3">
        <v>338</v>
      </c>
      <c r="Y73">
        <v>9.875</v>
      </c>
      <c r="Z73" s="3">
        <v>16</v>
      </c>
      <c r="AA73">
        <v>23</v>
      </c>
      <c r="AB73">
        <v>203</v>
      </c>
      <c r="AC73" s="5">
        <v>0.11330049261083744</v>
      </c>
      <c r="AD73" s="5">
        <v>0.1</v>
      </c>
      <c r="AE73" s="5">
        <v>1.133</v>
      </c>
      <c r="AF73" s="3">
        <v>91</v>
      </c>
      <c r="AG73" s="5">
        <v>0.36763166666666663</v>
      </c>
      <c r="AH73" s="5">
        <v>0.4</v>
      </c>
      <c r="AI73" s="5">
        <v>0.91910000000000003</v>
      </c>
      <c r="AJ73" s="3">
        <v>93</v>
      </c>
      <c r="AK73">
        <v>39</v>
      </c>
      <c r="AL73">
        <v>73</v>
      </c>
      <c r="AM73" s="5">
        <v>0.53424657534246578</v>
      </c>
      <c r="AN73" s="5">
        <v>0.8</v>
      </c>
      <c r="AO73" s="5">
        <v>0.66779999999999995</v>
      </c>
      <c r="AP73" s="3">
        <v>324</v>
      </c>
    </row>
    <row r="74" spans="1:42">
      <c r="A74" s="4" t="str">
        <f>_xlfn.XLOOKUP(Table1[[#This Row],[SAP]],'Location List'!B:B,'Location List'!G:G)</f>
        <v>SOUTH TX/RGV</v>
      </c>
      <c r="B74" s="4" t="str">
        <f>LEFT(Table1[[#This Row],[Sap: Loaction]],4)</f>
        <v>5DSX</v>
      </c>
      <c r="C74" t="s">
        <v>505</v>
      </c>
      <c r="D74" t="s">
        <v>589</v>
      </c>
      <c r="E74" s="3">
        <v>5</v>
      </c>
      <c r="F74" s="3">
        <v>293</v>
      </c>
      <c r="G74">
        <v>234.7</v>
      </c>
      <c r="H74" t="s">
        <v>470</v>
      </c>
      <c r="I74" s="6">
        <v>34.839399999999998</v>
      </c>
      <c r="J74" s="6">
        <v>39.99931113662457</v>
      </c>
      <c r="K74" s="5">
        <v>0.871</v>
      </c>
      <c r="L74" s="3">
        <v>243</v>
      </c>
      <c r="M74">
        <v>146</v>
      </c>
      <c r="N74">
        <v>193.648</v>
      </c>
      <c r="O74" s="5">
        <v>0.75390000000000001</v>
      </c>
      <c r="P74" s="3">
        <v>266</v>
      </c>
      <c r="Q74">
        <v>243</v>
      </c>
      <c r="R74">
        <v>1556</v>
      </c>
      <c r="S74" s="5">
        <v>0.15616966580976863</v>
      </c>
      <c r="T74" s="5">
        <v>0.24000256002730697</v>
      </c>
      <c r="U74" s="5">
        <v>0.65069999999999995</v>
      </c>
      <c r="V74" s="3">
        <v>236</v>
      </c>
      <c r="W74" s="5">
        <v>0.89279842568987888</v>
      </c>
      <c r="X74" s="3">
        <v>276</v>
      </c>
      <c r="Y74">
        <v>9.35</v>
      </c>
      <c r="Z74" s="3">
        <v>93</v>
      </c>
      <c r="AA74">
        <v>11</v>
      </c>
      <c r="AB74">
        <v>267</v>
      </c>
      <c r="AC74" s="5">
        <v>4.1198501872659173E-2</v>
      </c>
      <c r="AD74" s="5">
        <v>0.1</v>
      </c>
      <c r="AE74" s="5">
        <v>0.41199999999999998</v>
      </c>
      <c r="AF74" s="3">
        <v>261</v>
      </c>
      <c r="AG74" s="5">
        <v>0.23481433333333335</v>
      </c>
      <c r="AH74" s="5">
        <v>0.4</v>
      </c>
      <c r="AI74" s="5">
        <v>0.58699999999999997</v>
      </c>
      <c r="AJ74" s="3">
        <v>267</v>
      </c>
      <c r="AK74">
        <v>29</v>
      </c>
      <c r="AL74">
        <v>39</v>
      </c>
      <c r="AM74" s="5">
        <v>0.74358974358974361</v>
      </c>
      <c r="AN74" s="5">
        <v>0.8</v>
      </c>
      <c r="AO74" s="5">
        <v>0.92949999999999999</v>
      </c>
      <c r="AP74" s="3">
        <v>202</v>
      </c>
    </row>
    <row r="75" spans="1:42">
      <c r="A75" s="4" t="str">
        <f>_xlfn.XLOOKUP(Table1[[#This Row],[SAP]],'Location List'!B:B,'Location List'!G:G)</f>
        <v>CENTRAL TEXAS</v>
      </c>
      <c r="B75" s="4" t="str">
        <f>LEFT(Table1[[#This Row],[Sap: Loaction]],4)</f>
        <v>1DST</v>
      </c>
      <c r="C75" t="s">
        <v>505</v>
      </c>
      <c r="D75" t="s">
        <v>558</v>
      </c>
      <c r="E75" s="3">
        <v>5</v>
      </c>
      <c r="F75" s="3">
        <v>294</v>
      </c>
      <c r="G75">
        <v>235.65</v>
      </c>
      <c r="H75" t="s">
        <v>470</v>
      </c>
      <c r="I75" s="6">
        <v>36.860199999999999</v>
      </c>
      <c r="J75" s="6">
        <v>40.000217037438958</v>
      </c>
      <c r="K75" s="5">
        <v>0.92149999999999999</v>
      </c>
      <c r="L75" s="3">
        <v>217</v>
      </c>
      <c r="M75">
        <v>113</v>
      </c>
      <c r="N75">
        <v>143.33799999999999</v>
      </c>
      <c r="O75" s="5">
        <v>0.7883</v>
      </c>
      <c r="P75" s="3">
        <v>244</v>
      </c>
      <c r="Q75">
        <v>186</v>
      </c>
      <c r="R75">
        <v>1544</v>
      </c>
      <c r="S75" s="5">
        <v>0.12046632124352331</v>
      </c>
      <c r="T75" s="5">
        <v>0.24002056434254496</v>
      </c>
      <c r="U75" s="5">
        <v>0.50190000000000001</v>
      </c>
      <c r="V75" s="3">
        <v>330</v>
      </c>
      <c r="W75" s="5">
        <v>0.98994056809793418</v>
      </c>
      <c r="X75" s="3">
        <v>227</v>
      </c>
      <c r="Y75">
        <v>8.8635999999999999</v>
      </c>
      <c r="Z75" s="3">
        <v>218</v>
      </c>
      <c r="AA75">
        <v>9</v>
      </c>
      <c r="AB75">
        <v>207</v>
      </c>
      <c r="AC75" s="5">
        <v>4.3478260869565216E-2</v>
      </c>
      <c r="AD75" s="5">
        <v>0.1</v>
      </c>
      <c r="AE75" s="5">
        <v>0.43480000000000002</v>
      </c>
      <c r="AF75" s="3">
        <v>252</v>
      </c>
      <c r="AG75" s="5">
        <v>0.28882133333333332</v>
      </c>
      <c r="AH75" s="5">
        <v>0.4</v>
      </c>
      <c r="AI75" s="5">
        <v>0.72209999999999996</v>
      </c>
      <c r="AJ75" s="3">
        <v>195</v>
      </c>
      <c r="AK75">
        <v>49</v>
      </c>
      <c r="AL75">
        <v>61</v>
      </c>
      <c r="AM75" s="5">
        <v>0.80327868852459017</v>
      </c>
      <c r="AN75" s="5">
        <v>0.8</v>
      </c>
      <c r="AO75" s="5">
        <v>1.0041</v>
      </c>
      <c r="AP75" s="3">
        <v>152</v>
      </c>
    </row>
    <row r="76" spans="1:42">
      <c r="A76" s="4" t="str">
        <f>_xlfn.XLOOKUP(Table1[[#This Row],[SAP]],'Location List'!B:B,'Location List'!G:G)</f>
        <v>DFW NORTH</v>
      </c>
      <c r="B76" s="4" t="str">
        <f>LEFT(Table1[[#This Row],[Sap: Loaction]],4)</f>
        <v>1239</v>
      </c>
      <c r="C76" t="s">
        <v>505</v>
      </c>
      <c r="D76" t="s">
        <v>601</v>
      </c>
      <c r="E76" s="3">
        <v>5</v>
      </c>
      <c r="F76" s="3">
        <v>295</v>
      </c>
      <c r="G76">
        <v>235.8</v>
      </c>
      <c r="H76" t="s">
        <v>470</v>
      </c>
      <c r="I76" s="6">
        <v>16.5991</v>
      </c>
      <c r="J76" s="6">
        <v>34.997048281678261</v>
      </c>
      <c r="K76" s="5">
        <v>0.4743</v>
      </c>
      <c r="L76" s="3">
        <v>348</v>
      </c>
      <c r="M76">
        <v>139</v>
      </c>
      <c r="N76">
        <v>160.42400000000001</v>
      </c>
      <c r="O76" s="5">
        <v>0.86650000000000005</v>
      </c>
      <c r="P76" s="3">
        <v>205</v>
      </c>
      <c r="Q76">
        <v>216</v>
      </c>
      <c r="R76">
        <v>1400</v>
      </c>
      <c r="S76" s="5">
        <v>0.15428571428571428</v>
      </c>
      <c r="T76" s="5">
        <v>0.23998400106659554</v>
      </c>
      <c r="U76" s="5">
        <v>0.64290000000000003</v>
      </c>
      <c r="V76" s="3">
        <v>245</v>
      </c>
      <c r="W76" s="5">
        <v>0.64917025558154562</v>
      </c>
      <c r="X76" s="3">
        <v>339</v>
      </c>
      <c r="Y76">
        <v>9.0652000000000008</v>
      </c>
      <c r="Z76" s="3">
        <v>162</v>
      </c>
      <c r="AA76">
        <v>6</v>
      </c>
      <c r="AB76">
        <v>185</v>
      </c>
      <c r="AC76" s="5">
        <v>3.2432432432432434E-2</v>
      </c>
      <c r="AD76" s="5">
        <v>0.1</v>
      </c>
      <c r="AE76" s="5">
        <v>0.32429999999999998</v>
      </c>
      <c r="AF76" s="3">
        <v>288</v>
      </c>
      <c r="AG76" s="5">
        <v>0.43132833333333331</v>
      </c>
      <c r="AH76" s="5">
        <v>0.4</v>
      </c>
      <c r="AI76" s="5">
        <v>1.0783</v>
      </c>
      <c r="AJ76" s="3">
        <v>39</v>
      </c>
      <c r="AK76">
        <v>40</v>
      </c>
      <c r="AL76">
        <v>53</v>
      </c>
      <c r="AM76" s="5">
        <v>0.75471698113207553</v>
      </c>
      <c r="AN76" s="5">
        <v>0.8</v>
      </c>
      <c r="AO76" s="5">
        <v>0.94340000000000002</v>
      </c>
      <c r="AP76" s="3">
        <v>189</v>
      </c>
    </row>
    <row r="77" spans="1:42">
      <c r="A77" s="4" t="str">
        <f>_xlfn.XLOOKUP(Table1[[#This Row],[SAP]],'Location List'!B:B,'Location List'!G:G)</f>
        <v>KS/OK</v>
      </c>
      <c r="B77" s="4" t="str">
        <f>LEFT(Table1[[#This Row],[Sap: Loaction]],4)</f>
        <v>849C</v>
      </c>
      <c r="C77" t="s">
        <v>505</v>
      </c>
      <c r="D77" t="s">
        <v>545</v>
      </c>
      <c r="E77" s="3">
        <v>5</v>
      </c>
      <c r="F77" s="3">
        <v>297</v>
      </c>
      <c r="G77">
        <v>236.6</v>
      </c>
      <c r="H77" t="s">
        <v>470</v>
      </c>
      <c r="I77" s="6">
        <v>38.584000000000003</v>
      </c>
      <c r="J77" s="6">
        <v>40</v>
      </c>
      <c r="K77" s="5">
        <v>0.96460000000000001</v>
      </c>
      <c r="L77" s="3">
        <v>191</v>
      </c>
      <c r="M77">
        <v>189</v>
      </c>
      <c r="N77">
        <v>244.90700000000001</v>
      </c>
      <c r="O77" s="5">
        <v>0.77170000000000005</v>
      </c>
      <c r="P77" s="3">
        <v>257</v>
      </c>
      <c r="Q77">
        <v>270</v>
      </c>
      <c r="R77">
        <v>1784</v>
      </c>
      <c r="S77" s="5">
        <v>0.15134529147982062</v>
      </c>
      <c r="T77" s="5">
        <v>0.24000204801747638</v>
      </c>
      <c r="U77" s="5">
        <v>0.63060000000000005</v>
      </c>
      <c r="V77" s="3">
        <v>253</v>
      </c>
      <c r="W77" s="5">
        <v>0.86124687887640972</v>
      </c>
      <c r="X77" s="3">
        <v>286</v>
      </c>
      <c r="Y77">
        <v>8.8108000000000004</v>
      </c>
      <c r="Z77" s="3">
        <v>226</v>
      </c>
      <c r="AA77">
        <v>30</v>
      </c>
      <c r="AB77">
        <v>274</v>
      </c>
      <c r="AC77" s="5">
        <v>0.10948905109489052</v>
      </c>
      <c r="AD77" s="5">
        <v>0.1</v>
      </c>
      <c r="AE77" s="5">
        <v>1.0949</v>
      </c>
      <c r="AF77" s="3">
        <v>95</v>
      </c>
      <c r="AG77" s="5">
        <v>0.20188933333333334</v>
      </c>
      <c r="AH77" s="5">
        <v>0.4</v>
      </c>
      <c r="AI77" s="5">
        <v>0.50470000000000004</v>
      </c>
      <c r="AJ77" s="3">
        <v>307</v>
      </c>
      <c r="AK77">
        <v>14</v>
      </c>
      <c r="AL77">
        <v>43</v>
      </c>
      <c r="AM77" s="5">
        <v>0.32558139534883723</v>
      </c>
      <c r="AN77" s="5">
        <v>0.8</v>
      </c>
      <c r="AO77" s="5">
        <v>0.40699999999999997</v>
      </c>
      <c r="AP77" s="3">
        <v>353</v>
      </c>
    </row>
    <row r="78" spans="1:42">
      <c r="A78" s="4" t="str">
        <f>_xlfn.XLOOKUP(Table1[[#This Row],[SAP]],'Location List'!B:B,'Location List'!G:G)</f>
        <v>SA/HILL COUNTRY</v>
      </c>
      <c r="B78" s="4" t="str">
        <f>LEFT(Table1[[#This Row],[Sap: Loaction]],4)</f>
        <v>1ESD</v>
      </c>
      <c r="C78" t="s">
        <v>505</v>
      </c>
      <c r="D78" t="s">
        <v>592</v>
      </c>
      <c r="E78" s="3">
        <v>5</v>
      </c>
      <c r="F78" s="3">
        <v>299</v>
      </c>
      <c r="G78">
        <v>238.35</v>
      </c>
      <c r="H78" t="s">
        <v>470</v>
      </c>
      <c r="I78" s="6">
        <v>26.1782</v>
      </c>
      <c r="J78" s="6">
        <v>39.997249809014519</v>
      </c>
      <c r="K78" s="5">
        <v>0.65449999999999997</v>
      </c>
      <c r="L78" s="3">
        <v>326</v>
      </c>
      <c r="M78">
        <v>132</v>
      </c>
      <c r="N78">
        <v>194.59899999999999</v>
      </c>
      <c r="O78" s="5">
        <v>0.67830000000000001</v>
      </c>
      <c r="P78" s="3">
        <v>290</v>
      </c>
      <c r="Q78">
        <v>246</v>
      </c>
      <c r="R78">
        <v>1460</v>
      </c>
      <c r="S78" s="5">
        <v>0.16849315068493151</v>
      </c>
      <c r="T78" s="5">
        <v>0.23998454733646421</v>
      </c>
      <c r="U78" s="5">
        <v>0.70209999999999995</v>
      </c>
      <c r="V78" s="3">
        <v>186</v>
      </c>
      <c r="W78" s="5">
        <v>1.1902894080315045</v>
      </c>
      <c r="X78" s="3">
        <v>150</v>
      </c>
      <c r="Y78">
        <v>9.0237999999999996</v>
      </c>
      <c r="Z78" s="3">
        <v>173</v>
      </c>
      <c r="AA78">
        <v>20</v>
      </c>
      <c r="AB78">
        <v>235</v>
      </c>
      <c r="AC78" s="5">
        <v>8.5106382978723402E-2</v>
      </c>
      <c r="AD78" s="5">
        <v>0.1</v>
      </c>
      <c r="AE78" s="5">
        <v>0.85109999999999997</v>
      </c>
      <c r="AF78" s="3">
        <v>141</v>
      </c>
      <c r="AG78" s="5">
        <v>0.18646533333333334</v>
      </c>
      <c r="AH78" s="5">
        <v>0.4</v>
      </c>
      <c r="AI78" s="5">
        <v>0.4662</v>
      </c>
      <c r="AJ78" s="3">
        <v>321</v>
      </c>
      <c r="AK78">
        <v>25</v>
      </c>
      <c r="AL78">
        <v>47</v>
      </c>
      <c r="AM78" s="5">
        <v>0.53191489361702127</v>
      </c>
      <c r="AN78" s="5">
        <v>0.8</v>
      </c>
      <c r="AO78" s="5">
        <v>0.66490000000000005</v>
      </c>
      <c r="AP78" s="3">
        <v>325</v>
      </c>
    </row>
    <row r="79" spans="1:42">
      <c r="A79" s="4" t="str">
        <f>_xlfn.XLOOKUP(Table1[[#This Row],[SAP]],'Location List'!B:B,'Location List'!G:G)</f>
        <v>CENTRAL TEXAS</v>
      </c>
      <c r="B79" s="4" t="str">
        <f>LEFT(Table1[[#This Row],[Sap: Loaction]],4)</f>
        <v>1DSG</v>
      </c>
      <c r="C79" t="s">
        <v>505</v>
      </c>
      <c r="D79" t="s">
        <v>584</v>
      </c>
      <c r="E79" s="3">
        <v>5</v>
      </c>
      <c r="F79" s="3">
        <v>301</v>
      </c>
      <c r="G79">
        <v>239.05</v>
      </c>
      <c r="H79" t="s">
        <v>470</v>
      </c>
      <c r="I79" s="6">
        <v>27.186900000000001</v>
      </c>
      <c r="J79" s="6">
        <v>30.000993158243215</v>
      </c>
      <c r="K79" s="5">
        <v>0.90620000000000001</v>
      </c>
      <c r="L79" s="3">
        <v>228</v>
      </c>
      <c r="M79">
        <v>72</v>
      </c>
      <c r="N79">
        <v>97.775000000000006</v>
      </c>
      <c r="O79" s="5">
        <v>0.73640000000000005</v>
      </c>
      <c r="P79" s="3">
        <v>272</v>
      </c>
      <c r="Q79">
        <v>104</v>
      </c>
      <c r="R79">
        <v>885</v>
      </c>
      <c r="S79" s="5">
        <v>0.11751412429378531</v>
      </c>
      <c r="T79" s="5">
        <v>0.24002067870462687</v>
      </c>
      <c r="U79" s="5">
        <v>0.48959999999999998</v>
      </c>
      <c r="V79" s="3">
        <v>332</v>
      </c>
      <c r="W79" s="5">
        <v>0.78102210910483594</v>
      </c>
      <c r="X79" s="3">
        <v>314</v>
      </c>
      <c r="Y79">
        <v>9.0769000000000002</v>
      </c>
      <c r="Z79" s="3">
        <v>158</v>
      </c>
      <c r="AA79">
        <v>6</v>
      </c>
      <c r="AB79">
        <v>113</v>
      </c>
      <c r="AC79" s="5">
        <v>5.3097345132743362E-2</v>
      </c>
      <c r="AD79" s="5">
        <v>0.1</v>
      </c>
      <c r="AE79" s="5">
        <v>0.53100000000000003</v>
      </c>
      <c r="AF79" s="3">
        <v>225</v>
      </c>
      <c r="AG79" s="5">
        <v>0.32542066666666664</v>
      </c>
      <c r="AH79" s="5">
        <v>0.4</v>
      </c>
      <c r="AI79" s="5">
        <v>0.81359999999999999</v>
      </c>
      <c r="AJ79" s="3">
        <v>154</v>
      </c>
      <c r="AK79">
        <v>23</v>
      </c>
      <c r="AL79">
        <v>30</v>
      </c>
      <c r="AM79" s="5">
        <v>0.76666666666666672</v>
      </c>
      <c r="AN79" s="5">
        <v>0.8</v>
      </c>
      <c r="AO79" s="5">
        <v>0.95830000000000004</v>
      </c>
      <c r="AP79" s="3">
        <v>179</v>
      </c>
    </row>
    <row r="80" spans="1:42">
      <c r="A80" s="4" t="str">
        <f>_xlfn.XLOOKUP(Table1[[#This Row],[SAP]],'Location List'!B:B,'Location List'!G:G)</f>
        <v>MO/IA/NE</v>
      </c>
      <c r="B80" s="4" t="str">
        <f>LEFT(Table1[[#This Row],[Sap: Loaction]],4)</f>
        <v>4BSP</v>
      </c>
      <c r="C80" t="s">
        <v>505</v>
      </c>
      <c r="D80" t="s">
        <v>588</v>
      </c>
      <c r="E80" s="3">
        <v>5</v>
      </c>
      <c r="F80" s="3">
        <v>306</v>
      </c>
      <c r="G80">
        <v>244.3</v>
      </c>
      <c r="H80" t="s">
        <v>470</v>
      </c>
      <c r="I80" s="6">
        <v>26.803899999999999</v>
      </c>
      <c r="J80" s="6">
        <v>29.998768886401791</v>
      </c>
      <c r="K80" s="5">
        <v>0.89349999999999996</v>
      </c>
      <c r="L80" s="3">
        <v>232</v>
      </c>
      <c r="M80">
        <v>63</v>
      </c>
      <c r="N80">
        <v>99.671000000000006</v>
      </c>
      <c r="O80" s="5">
        <v>0.6321</v>
      </c>
      <c r="P80" s="3">
        <v>312</v>
      </c>
      <c r="Q80">
        <v>130</v>
      </c>
      <c r="R80">
        <v>1135</v>
      </c>
      <c r="S80" s="5">
        <v>0.11453744493392071</v>
      </c>
      <c r="T80" s="5">
        <v>0.24001979240134264</v>
      </c>
      <c r="U80" s="5">
        <v>0.47720000000000001</v>
      </c>
      <c r="V80" s="3">
        <v>336</v>
      </c>
      <c r="W80" s="5">
        <v>1.2751184569532441</v>
      </c>
      <c r="X80" s="3">
        <v>113</v>
      </c>
      <c r="Y80">
        <v>9.1364000000000001</v>
      </c>
      <c r="Z80" s="3">
        <v>142</v>
      </c>
      <c r="AA80">
        <v>10</v>
      </c>
      <c r="AB80">
        <v>178</v>
      </c>
      <c r="AC80" s="5">
        <v>5.6179775280898875E-2</v>
      </c>
      <c r="AD80" s="5">
        <v>0.1</v>
      </c>
      <c r="AE80" s="5">
        <v>0.56179999999999997</v>
      </c>
      <c r="AF80" s="3">
        <v>216</v>
      </c>
      <c r="AG80" s="5">
        <v>0.16132966666666668</v>
      </c>
      <c r="AH80" s="5">
        <v>0.4</v>
      </c>
      <c r="AI80" s="5">
        <v>0.40329999999999999</v>
      </c>
      <c r="AJ80" s="3">
        <v>338</v>
      </c>
      <c r="AK80">
        <v>23</v>
      </c>
      <c r="AL80">
        <v>31</v>
      </c>
      <c r="AM80" s="5">
        <v>0.74193548387096775</v>
      </c>
      <c r="AN80" s="5">
        <v>0.8</v>
      </c>
      <c r="AO80" s="5">
        <v>0.9274</v>
      </c>
      <c r="AP80" s="3">
        <v>206</v>
      </c>
    </row>
    <row r="81" spans="1:42">
      <c r="A81" s="4" t="str">
        <f>_xlfn.XLOOKUP(Table1[[#This Row],[SAP]],'Location List'!B:B,'Location List'!G:G)</f>
        <v>DFW EAST</v>
      </c>
      <c r="B81" s="4" t="str">
        <f>LEFT(Table1[[#This Row],[Sap: Loaction]],4)</f>
        <v>1357</v>
      </c>
      <c r="C81" t="s">
        <v>505</v>
      </c>
      <c r="D81" t="s">
        <v>568</v>
      </c>
      <c r="E81" s="3">
        <v>5</v>
      </c>
      <c r="F81" s="3">
        <v>311</v>
      </c>
      <c r="G81">
        <v>247.35</v>
      </c>
      <c r="H81" t="s">
        <v>470</v>
      </c>
      <c r="I81" s="6">
        <v>44.058500000000002</v>
      </c>
      <c r="J81" s="6">
        <v>39.998638220608264</v>
      </c>
      <c r="K81" s="5">
        <v>1.1014999999999999</v>
      </c>
      <c r="L81" s="3">
        <v>133</v>
      </c>
      <c r="M81">
        <v>292</v>
      </c>
      <c r="N81">
        <v>309.459</v>
      </c>
      <c r="O81" s="5">
        <v>0.94359999999999999</v>
      </c>
      <c r="P81" s="3">
        <v>169</v>
      </c>
      <c r="Q81">
        <v>396</v>
      </c>
      <c r="R81">
        <v>2734</v>
      </c>
      <c r="S81" s="5">
        <v>0.14484272128749084</v>
      </c>
      <c r="T81" s="5">
        <v>0.24000450917562691</v>
      </c>
      <c r="U81" s="5">
        <v>0.60350000000000004</v>
      </c>
      <c r="V81" s="3">
        <v>272</v>
      </c>
      <c r="W81" s="5">
        <v>0.76703802649784669</v>
      </c>
      <c r="X81" s="3">
        <v>318</v>
      </c>
      <c r="Y81">
        <v>8.2036999999999995</v>
      </c>
      <c r="Z81" s="3">
        <v>305</v>
      </c>
      <c r="AA81">
        <v>11</v>
      </c>
      <c r="AB81">
        <v>405</v>
      </c>
      <c r="AC81" s="5">
        <v>2.7160493827160494E-2</v>
      </c>
      <c r="AD81" s="5">
        <v>0.1</v>
      </c>
      <c r="AE81" s="5">
        <v>0.27160000000000001</v>
      </c>
      <c r="AF81" s="3">
        <v>299</v>
      </c>
      <c r="AG81" s="5">
        <v>0.26397900000000002</v>
      </c>
      <c r="AH81" s="5">
        <v>0.4</v>
      </c>
      <c r="AI81" s="5">
        <v>0.65990000000000004</v>
      </c>
      <c r="AJ81" s="3">
        <v>232</v>
      </c>
      <c r="AK81">
        <v>54</v>
      </c>
      <c r="AL81">
        <v>95</v>
      </c>
      <c r="AM81" s="5">
        <v>0.56842105263157894</v>
      </c>
      <c r="AN81" s="5">
        <v>0.8</v>
      </c>
      <c r="AO81" s="5">
        <v>0.71050000000000002</v>
      </c>
      <c r="AP81" s="3">
        <v>309</v>
      </c>
    </row>
    <row r="82" spans="1:42">
      <c r="A82" s="4" t="str">
        <f>_xlfn.XLOOKUP(Table1[[#This Row],[SAP]],'Location List'!B:B,'Location List'!G:G)</f>
        <v>SOUTH TX/RGV</v>
      </c>
      <c r="B82" s="4" t="str">
        <f>LEFT(Table1[[#This Row],[Sap: Loaction]],4)</f>
        <v>1953</v>
      </c>
      <c r="C82" t="s">
        <v>505</v>
      </c>
      <c r="D82" t="s">
        <v>583</v>
      </c>
      <c r="E82" s="3">
        <v>5</v>
      </c>
      <c r="F82" s="3">
        <v>312</v>
      </c>
      <c r="G82">
        <v>248</v>
      </c>
      <c r="H82" t="s">
        <v>470</v>
      </c>
      <c r="I82" s="6">
        <v>17.646899999999999</v>
      </c>
      <c r="J82" s="6">
        <v>34.999801666005553</v>
      </c>
      <c r="K82" s="5">
        <v>0.50419999999999998</v>
      </c>
      <c r="L82" s="3">
        <v>345</v>
      </c>
      <c r="M82">
        <v>78</v>
      </c>
      <c r="N82">
        <v>102.52200000000001</v>
      </c>
      <c r="O82" s="5">
        <v>0.76080000000000003</v>
      </c>
      <c r="P82" s="3">
        <v>263</v>
      </c>
      <c r="Q82">
        <v>111</v>
      </c>
      <c r="R82">
        <v>916</v>
      </c>
      <c r="S82" s="5">
        <v>0.12117903930131005</v>
      </c>
      <c r="T82" s="5">
        <v>0.2400060196104378</v>
      </c>
      <c r="U82" s="5">
        <v>0.50490000000000002</v>
      </c>
      <c r="V82" s="3">
        <v>328</v>
      </c>
      <c r="W82" s="5">
        <v>1.1745083768058269</v>
      </c>
      <c r="X82" s="3">
        <v>156</v>
      </c>
      <c r="Y82">
        <v>9.1052999999999997</v>
      </c>
      <c r="Z82" s="3">
        <v>152</v>
      </c>
      <c r="AA82">
        <v>12</v>
      </c>
      <c r="AB82">
        <v>182</v>
      </c>
      <c r="AC82" s="5">
        <v>6.5934065934065936E-2</v>
      </c>
      <c r="AD82" s="5">
        <v>0.1</v>
      </c>
      <c r="AE82" s="5">
        <v>0.6593</v>
      </c>
      <c r="AF82" s="3">
        <v>196</v>
      </c>
      <c r="AG82" s="5">
        <v>0.32467499999999999</v>
      </c>
      <c r="AH82" s="5">
        <v>0.4</v>
      </c>
      <c r="AI82" s="5">
        <v>0.81169999999999998</v>
      </c>
      <c r="AJ82" s="3">
        <v>155</v>
      </c>
      <c r="AK82">
        <v>11</v>
      </c>
      <c r="AL82">
        <v>20</v>
      </c>
      <c r="AM82" s="5">
        <v>0.55000000000000004</v>
      </c>
      <c r="AN82" s="5">
        <v>0.8</v>
      </c>
      <c r="AO82" s="5">
        <v>0.6875</v>
      </c>
      <c r="AP82" s="3">
        <v>319</v>
      </c>
    </row>
    <row r="83" spans="1:42">
      <c r="A83" s="4" t="str">
        <f>_xlfn.XLOOKUP(Table1[[#This Row],[SAP]],'Location List'!B:B,'Location List'!G:G)</f>
        <v>KS/OK</v>
      </c>
      <c r="B83" s="4" t="str">
        <f>LEFT(Table1[[#This Row],[Sap: Loaction]],4)</f>
        <v>857C</v>
      </c>
      <c r="C83" t="s">
        <v>505</v>
      </c>
      <c r="D83" t="s">
        <v>591</v>
      </c>
      <c r="E83" s="3">
        <v>5</v>
      </c>
      <c r="F83" s="3">
        <v>313</v>
      </c>
      <c r="G83">
        <v>249.85</v>
      </c>
      <c r="H83" t="s">
        <v>470</v>
      </c>
      <c r="I83" s="6">
        <v>29.303799999999999</v>
      </c>
      <c r="J83" s="6">
        <v>39.999726999726995</v>
      </c>
      <c r="K83" s="5">
        <v>0.73260000000000003</v>
      </c>
      <c r="L83" s="3">
        <v>307</v>
      </c>
      <c r="M83">
        <v>113</v>
      </c>
      <c r="N83">
        <v>153.78200000000001</v>
      </c>
      <c r="O83" s="5">
        <v>0.73480000000000001</v>
      </c>
      <c r="P83" s="3">
        <v>273</v>
      </c>
      <c r="Q83">
        <v>221</v>
      </c>
      <c r="R83">
        <v>1819</v>
      </c>
      <c r="S83" s="5">
        <v>0.12149532710280374</v>
      </c>
      <c r="T83" s="5">
        <v>0.24001447471909076</v>
      </c>
      <c r="U83" s="5">
        <v>0.50619999999999998</v>
      </c>
      <c r="V83" s="3">
        <v>327</v>
      </c>
      <c r="W83" s="5">
        <v>1.0636383271176826</v>
      </c>
      <c r="X83" s="3">
        <v>204</v>
      </c>
      <c r="Y83">
        <v>9.4130000000000003</v>
      </c>
      <c r="Z83" s="3">
        <v>80</v>
      </c>
      <c r="AA83">
        <v>10</v>
      </c>
      <c r="AB83">
        <v>260</v>
      </c>
      <c r="AC83" s="5">
        <v>3.8461538461538464E-2</v>
      </c>
      <c r="AD83" s="5">
        <v>0.1</v>
      </c>
      <c r="AE83" s="5">
        <v>0.3846</v>
      </c>
      <c r="AF83" s="3">
        <v>266</v>
      </c>
      <c r="AG83" s="5">
        <v>0.3293213333333333</v>
      </c>
      <c r="AH83" s="5">
        <v>0.4</v>
      </c>
      <c r="AI83" s="5">
        <v>0.82330000000000003</v>
      </c>
      <c r="AJ83" s="3">
        <v>145</v>
      </c>
      <c r="AK83">
        <v>25</v>
      </c>
      <c r="AL83">
        <v>44</v>
      </c>
      <c r="AM83" s="5">
        <v>0.56818181818181823</v>
      </c>
      <c r="AN83" s="5">
        <v>0.8</v>
      </c>
      <c r="AO83" s="5">
        <v>0.71020000000000005</v>
      </c>
      <c r="AP83" s="3">
        <v>310</v>
      </c>
    </row>
    <row r="84" spans="1:42">
      <c r="A84" s="4" t="str">
        <f>_xlfn.XLOOKUP(Table1[[#This Row],[SAP]],'Location List'!B:B,'Location List'!G:G)</f>
        <v>SA SOUTH</v>
      </c>
      <c r="B84" s="4" t="str">
        <f>LEFT(Table1[[#This Row],[Sap: Loaction]],4)</f>
        <v>1VSE</v>
      </c>
      <c r="C84" t="s">
        <v>505</v>
      </c>
      <c r="D84" t="s">
        <v>594</v>
      </c>
      <c r="E84" s="3">
        <v>5</v>
      </c>
      <c r="F84" s="3">
        <v>314</v>
      </c>
      <c r="G84">
        <v>251.2</v>
      </c>
      <c r="H84" t="s">
        <v>470</v>
      </c>
      <c r="I84" s="6">
        <v>27.404399999999999</v>
      </c>
      <c r="J84" s="6">
        <v>34.999233716475096</v>
      </c>
      <c r="K84" s="5">
        <v>0.78300000000000003</v>
      </c>
      <c r="L84" s="3">
        <v>286</v>
      </c>
      <c r="M84">
        <v>112</v>
      </c>
      <c r="N84">
        <v>141.44399999999999</v>
      </c>
      <c r="O84" s="5">
        <v>0.79179999999999995</v>
      </c>
      <c r="P84" s="3">
        <v>243</v>
      </c>
      <c r="Q84">
        <v>175</v>
      </c>
      <c r="R84">
        <v>1088</v>
      </c>
      <c r="S84" s="5">
        <v>0.16084558823529413</v>
      </c>
      <c r="T84" s="5">
        <v>0.23999640142538664</v>
      </c>
      <c r="U84" s="5">
        <v>0.67020000000000002</v>
      </c>
      <c r="V84" s="3">
        <v>220</v>
      </c>
      <c r="W84" s="5">
        <v>0.50432961513003527</v>
      </c>
      <c r="X84" s="3">
        <v>350</v>
      </c>
      <c r="Y84">
        <v>8.875</v>
      </c>
      <c r="Z84" s="3">
        <v>217</v>
      </c>
      <c r="AA84">
        <v>7</v>
      </c>
      <c r="AB84">
        <v>104</v>
      </c>
      <c r="AC84" s="5">
        <v>6.7307692307692304E-2</v>
      </c>
      <c r="AD84" s="5">
        <v>0.1</v>
      </c>
      <c r="AE84" s="5">
        <v>0.67310000000000003</v>
      </c>
      <c r="AF84" s="3">
        <v>193</v>
      </c>
      <c r="AG84" s="5">
        <v>0.27766000000000002</v>
      </c>
      <c r="AH84" s="5">
        <v>0.4</v>
      </c>
      <c r="AI84" s="5">
        <v>0.69420000000000004</v>
      </c>
      <c r="AJ84" s="3">
        <v>211</v>
      </c>
      <c r="AK84">
        <v>17</v>
      </c>
      <c r="AL84">
        <v>31</v>
      </c>
      <c r="AM84" s="5">
        <v>0.54838709677419351</v>
      </c>
      <c r="AN84" s="5">
        <v>0.8</v>
      </c>
      <c r="AO84" s="5">
        <v>0.6855</v>
      </c>
      <c r="AP84" s="3">
        <v>321</v>
      </c>
    </row>
    <row r="85" spans="1:42">
      <c r="A85" s="4" t="str">
        <f>_xlfn.XLOOKUP(Table1[[#This Row],[SAP]],'Location List'!B:B,'Location List'!G:G)</f>
        <v>SA SOUTH</v>
      </c>
      <c r="B85" s="4" t="str">
        <f>LEFT(Table1[[#This Row],[Sap: Loaction]],4)</f>
        <v>5441</v>
      </c>
      <c r="C85" t="s">
        <v>505</v>
      </c>
      <c r="D85" t="s">
        <v>554</v>
      </c>
      <c r="E85" s="3">
        <v>5</v>
      </c>
      <c r="F85" s="3">
        <v>316</v>
      </c>
      <c r="G85">
        <v>253.85</v>
      </c>
      <c r="H85" t="s">
        <v>470</v>
      </c>
      <c r="I85" s="6">
        <v>47.371200000000002</v>
      </c>
      <c r="J85" s="6">
        <v>39.999324495482568</v>
      </c>
      <c r="K85" s="5">
        <v>1.1842999999999999</v>
      </c>
      <c r="L85" s="3">
        <v>101</v>
      </c>
      <c r="M85">
        <v>149</v>
      </c>
      <c r="N85">
        <v>187.95400000000001</v>
      </c>
      <c r="O85" s="5">
        <v>0.79269999999999996</v>
      </c>
      <c r="P85" s="3">
        <v>242</v>
      </c>
      <c r="Q85">
        <v>253</v>
      </c>
      <c r="R85">
        <v>2008</v>
      </c>
      <c r="S85" s="5">
        <v>0.12599601593625498</v>
      </c>
      <c r="T85" s="5">
        <v>0.23999241130715232</v>
      </c>
      <c r="U85" s="5">
        <v>0.52500000000000002</v>
      </c>
      <c r="V85" s="3">
        <v>320</v>
      </c>
      <c r="W85" s="5">
        <v>0.76989179336372038</v>
      </c>
      <c r="X85" s="3">
        <v>317</v>
      </c>
      <c r="Y85">
        <v>7.9166999999999996</v>
      </c>
      <c r="Z85" s="3">
        <v>324</v>
      </c>
      <c r="AA85">
        <v>7</v>
      </c>
      <c r="AB85">
        <v>195</v>
      </c>
      <c r="AC85" s="5">
        <v>3.5897435897435895E-2</v>
      </c>
      <c r="AD85" s="5">
        <v>0.1</v>
      </c>
      <c r="AE85" s="5">
        <v>0.35899999999999999</v>
      </c>
      <c r="AF85" s="3">
        <v>276</v>
      </c>
      <c r="AG85" s="5">
        <v>0.23913033333333333</v>
      </c>
      <c r="AH85" s="5">
        <v>0.4</v>
      </c>
      <c r="AI85" s="5">
        <v>0.5978</v>
      </c>
      <c r="AJ85" s="3">
        <v>257</v>
      </c>
      <c r="AK85">
        <v>30</v>
      </c>
      <c r="AL85">
        <v>42</v>
      </c>
      <c r="AM85" s="5">
        <v>0.7142857142857143</v>
      </c>
      <c r="AN85" s="5">
        <v>0.8</v>
      </c>
      <c r="AO85" s="5">
        <v>0.89290000000000003</v>
      </c>
      <c r="AP85" s="3">
        <v>232</v>
      </c>
    </row>
    <row r="86" spans="1:42">
      <c r="A86" s="4" t="str">
        <f>_xlfn.XLOOKUP(Table1[[#This Row],[SAP]],'Location List'!B:B,'Location List'!G:G)</f>
        <v>DFW NORTH</v>
      </c>
      <c r="B86" s="4" t="str">
        <f>LEFT(Table1[[#This Row],[Sap: Loaction]],4)</f>
        <v>5761</v>
      </c>
      <c r="C86" t="s">
        <v>505</v>
      </c>
      <c r="D86" t="s">
        <v>572</v>
      </c>
      <c r="E86" s="3">
        <v>5</v>
      </c>
      <c r="F86" s="3">
        <v>319</v>
      </c>
      <c r="G86">
        <v>254.9</v>
      </c>
      <c r="H86" t="s">
        <v>470</v>
      </c>
      <c r="I86" s="6">
        <v>25.589099999999998</v>
      </c>
      <c r="J86" s="6">
        <v>29.998944900351699</v>
      </c>
      <c r="K86" s="5">
        <v>0.85299999999999998</v>
      </c>
      <c r="L86" s="3">
        <v>253</v>
      </c>
      <c r="M86">
        <v>41</v>
      </c>
      <c r="N86">
        <v>52.210999999999999</v>
      </c>
      <c r="O86" s="5">
        <v>0.7853</v>
      </c>
      <c r="P86" s="3">
        <v>248</v>
      </c>
      <c r="Q86">
        <v>53</v>
      </c>
      <c r="R86">
        <v>467</v>
      </c>
      <c r="S86" s="5">
        <v>0.11349036402569593</v>
      </c>
      <c r="T86" s="5">
        <v>0.23998808210128131</v>
      </c>
      <c r="U86" s="5">
        <v>0.47289999999999999</v>
      </c>
      <c r="V86" s="3">
        <v>338</v>
      </c>
      <c r="W86" s="5">
        <v>1.1470649748145632</v>
      </c>
      <c r="X86" s="3">
        <v>163</v>
      </c>
      <c r="Y86">
        <v>7.875</v>
      </c>
      <c r="Z86" s="3">
        <v>328</v>
      </c>
      <c r="AA86">
        <v>2</v>
      </c>
      <c r="AB86">
        <v>65</v>
      </c>
      <c r="AC86" s="5">
        <v>3.0769230769230771E-2</v>
      </c>
      <c r="AD86" s="5">
        <v>0.1</v>
      </c>
      <c r="AE86" s="5">
        <v>0.30769999999999997</v>
      </c>
      <c r="AF86" s="3">
        <v>289</v>
      </c>
      <c r="AG86" s="5">
        <v>0.26315766666666668</v>
      </c>
      <c r="AH86" s="5">
        <v>0.4</v>
      </c>
      <c r="AI86" s="5">
        <v>0.65790000000000004</v>
      </c>
      <c r="AJ86" s="3">
        <v>234</v>
      </c>
      <c r="AK86">
        <v>9</v>
      </c>
      <c r="AL86">
        <v>11</v>
      </c>
      <c r="AM86" s="5">
        <v>0.81818181818181823</v>
      </c>
      <c r="AN86" s="5">
        <v>0.8</v>
      </c>
      <c r="AO86" s="5">
        <v>1.0226999999999999</v>
      </c>
      <c r="AP86" s="3">
        <v>132</v>
      </c>
    </row>
    <row r="87" spans="1:42">
      <c r="A87" s="4" t="str">
        <f>_xlfn.XLOOKUP(Table1[[#This Row],[SAP]],'Location List'!B:B,'Location List'!G:G)</f>
        <v>SA/HILL COUNTRY</v>
      </c>
      <c r="B87" s="4" t="str">
        <f>LEFT(Table1[[#This Row],[Sap: Loaction]],4)</f>
        <v>767D</v>
      </c>
      <c r="C87" t="s">
        <v>505</v>
      </c>
      <c r="D87" t="s">
        <v>581</v>
      </c>
      <c r="E87" s="3">
        <v>5</v>
      </c>
      <c r="F87" s="3">
        <v>321</v>
      </c>
      <c r="G87">
        <v>259.25</v>
      </c>
      <c r="H87" t="s">
        <v>470</v>
      </c>
      <c r="I87" s="6">
        <v>21.4528</v>
      </c>
      <c r="J87" s="6">
        <v>35.002121063795073</v>
      </c>
      <c r="K87" s="5">
        <v>0.6129</v>
      </c>
      <c r="L87" s="3">
        <v>334</v>
      </c>
      <c r="M87">
        <v>87</v>
      </c>
      <c r="N87">
        <v>126.25700000000001</v>
      </c>
      <c r="O87" s="5">
        <v>0.68910000000000005</v>
      </c>
      <c r="P87" s="3">
        <v>287</v>
      </c>
      <c r="Q87">
        <v>121</v>
      </c>
      <c r="R87">
        <v>866</v>
      </c>
      <c r="S87" s="5">
        <v>0.13972286374133949</v>
      </c>
      <c r="T87" s="5">
        <v>0.23999117784496649</v>
      </c>
      <c r="U87" s="5">
        <v>0.58220000000000005</v>
      </c>
      <c r="V87" s="3">
        <v>286</v>
      </c>
      <c r="W87" s="5">
        <v>1.4394909629444361</v>
      </c>
      <c r="X87" s="3">
        <v>58</v>
      </c>
      <c r="Y87">
        <v>8.8181999999999992</v>
      </c>
      <c r="Z87" s="3">
        <v>224</v>
      </c>
      <c r="AA87">
        <v>12</v>
      </c>
      <c r="AB87">
        <v>167</v>
      </c>
      <c r="AC87" s="5">
        <v>7.1856287425149698E-2</v>
      </c>
      <c r="AD87" s="5">
        <v>0.1</v>
      </c>
      <c r="AE87" s="5">
        <v>0.71860000000000002</v>
      </c>
      <c r="AF87" s="3">
        <v>178</v>
      </c>
      <c r="AG87" s="5">
        <v>0.12829100000000002</v>
      </c>
      <c r="AH87" s="5">
        <v>0.4</v>
      </c>
      <c r="AI87" s="5">
        <v>0.32069999999999999</v>
      </c>
      <c r="AJ87" s="3">
        <v>355</v>
      </c>
      <c r="AK87">
        <v>16</v>
      </c>
      <c r="AL87">
        <v>31</v>
      </c>
      <c r="AM87" s="5">
        <v>0.5161290322580645</v>
      </c>
      <c r="AN87" s="5">
        <v>0.8</v>
      </c>
      <c r="AO87" s="5">
        <v>0.6452</v>
      </c>
      <c r="AP87" s="3">
        <v>328</v>
      </c>
    </row>
    <row r="88" spans="1:42">
      <c r="A88" s="4" t="str">
        <f>_xlfn.XLOOKUP(Table1[[#This Row],[SAP]],'Location List'!B:B,'Location List'!G:G)</f>
        <v>MO/IA/NE</v>
      </c>
      <c r="B88" s="4" t="str">
        <f>LEFT(Table1[[#This Row],[Sap: Loaction]],4)</f>
        <v>4BSH</v>
      </c>
      <c r="C88" t="s">
        <v>505</v>
      </c>
      <c r="D88" t="s">
        <v>597</v>
      </c>
      <c r="E88" s="3">
        <v>5</v>
      </c>
      <c r="F88" s="3">
        <v>325</v>
      </c>
      <c r="G88">
        <v>260.3</v>
      </c>
      <c r="H88" t="s">
        <v>470</v>
      </c>
      <c r="I88" s="6">
        <v>26.857700000000001</v>
      </c>
      <c r="J88" s="6">
        <v>34.998305968204328</v>
      </c>
      <c r="K88" s="5">
        <v>0.76739999999999997</v>
      </c>
      <c r="L88" s="3">
        <v>294</v>
      </c>
      <c r="M88">
        <v>105</v>
      </c>
      <c r="N88">
        <v>126.249</v>
      </c>
      <c r="O88" s="5">
        <v>0.83169999999999999</v>
      </c>
      <c r="P88" s="3">
        <v>221</v>
      </c>
      <c r="Q88">
        <v>197</v>
      </c>
      <c r="R88">
        <v>1299</v>
      </c>
      <c r="S88" s="5">
        <v>0.15165511932255582</v>
      </c>
      <c r="T88" s="5">
        <v>0.2399986063025096</v>
      </c>
      <c r="U88" s="5">
        <v>0.63190000000000002</v>
      </c>
      <c r="V88" s="3">
        <v>252</v>
      </c>
      <c r="W88" s="5">
        <v>1.1445547187909846</v>
      </c>
      <c r="X88" s="3">
        <v>165</v>
      </c>
      <c r="Y88">
        <v>8.6206999999999994</v>
      </c>
      <c r="Z88" s="3">
        <v>264</v>
      </c>
      <c r="AA88">
        <v>13</v>
      </c>
      <c r="AB88">
        <v>280</v>
      </c>
      <c r="AC88" s="5">
        <v>4.642857142857143E-2</v>
      </c>
      <c r="AD88" s="5">
        <v>0.1</v>
      </c>
      <c r="AE88" s="5">
        <v>0.46429999999999999</v>
      </c>
      <c r="AF88" s="3">
        <v>243</v>
      </c>
      <c r="AG88" s="5">
        <v>0.13167599999999999</v>
      </c>
      <c r="AH88" s="5">
        <v>0.4</v>
      </c>
      <c r="AI88" s="5">
        <v>0.32919999999999999</v>
      </c>
      <c r="AJ88" s="3">
        <v>352</v>
      </c>
      <c r="AK88">
        <v>24</v>
      </c>
      <c r="AL88">
        <v>42</v>
      </c>
      <c r="AM88" s="5">
        <v>0.5714285714285714</v>
      </c>
      <c r="AN88" s="5">
        <v>0.8</v>
      </c>
      <c r="AO88" s="5">
        <v>0.71430000000000005</v>
      </c>
      <c r="AP88" s="3">
        <v>307</v>
      </c>
    </row>
    <row r="89" spans="1:42">
      <c r="A89" s="4" t="str">
        <f>_xlfn.XLOOKUP(Table1[[#This Row],[SAP]],'Location List'!B:B,'Location List'!G:G)</f>
        <v>DFW EAST</v>
      </c>
      <c r="B89" s="4" t="str">
        <f>LEFT(Table1[[#This Row],[Sap: Loaction]],4)</f>
        <v>5564</v>
      </c>
      <c r="C89" t="s">
        <v>505</v>
      </c>
      <c r="D89" t="s">
        <v>561</v>
      </c>
      <c r="E89" s="3">
        <v>5</v>
      </c>
      <c r="F89" s="3">
        <v>332</v>
      </c>
      <c r="G89">
        <v>267.2</v>
      </c>
      <c r="H89" t="s">
        <v>470</v>
      </c>
      <c r="I89" s="6">
        <v>34.040599999999998</v>
      </c>
      <c r="J89" s="6">
        <v>34.99958873123586</v>
      </c>
      <c r="K89" s="5">
        <v>0.97260000000000002</v>
      </c>
      <c r="L89" s="3">
        <v>187</v>
      </c>
      <c r="M89">
        <v>112</v>
      </c>
      <c r="N89">
        <v>155.68100000000001</v>
      </c>
      <c r="O89" s="5">
        <v>0.71940000000000004</v>
      </c>
      <c r="P89" s="3">
        <v>276</v>
      </c>
      <c r="Q89">
        <v>170</v>
      </c>
      <c r="R89">
        <v>1181</v>
      </c>
      <c r="S89" s="5">
        <v>0.14394580863674852</v>
      </c>
      <c r="T89" s="5">
        <v>0.23998967762045437</v>
      </c>
      <c r="U89" s="5">
        <v>0.5998</v>
      </c>
      <c r="V89" s="3">
        <v>274</v>
      </c>
      <c r="W89" s="5">
        <v>0.95754342574838047</v>
      </c>
      <c r="X89" s="3">
        <v>239</v>
      </c>
      <c r="Y89">
        <v>8.9677000000000007</v>
      </c>
      <c r="Z89" s="3">
        <v>194</v>
      </c>
      <c r="AA89">
        <v>7</v>
      </c>
      <c r="AB89">
        <v>248</v>
      </c>
      <c r="AC89" s="5">
        <v>2.8225806451612902E-2</v>
      </c>
      <c r="AD89" s="5">
        <v>0.1</v>
      </c>
      <c r="AE89" s="5">
        <v>0.2823</v>
      </c>
      <c r="AF89" s="3">
        <v>297</v>
      </c>
      <c r="AG89" s="5">
        <v>0.12701966666666667</v>
      </c>
      <c r="AH89" s="5">
        <v>0.4</v>
      </c>
      <c r="AI89" s="5">
        <v>0.3175</v>
      </c>
      <c r="AJ89" s="3">
        <v>356</v>
      </c>
      <c r="AK89">
        <v>12</v>
      </c>
      <c r="AL89">
        <v>24</v>
      </c>
      <c r="AM89" s="5">
        <v>0.5</v>
      </c>
      <c r="AN89" s="5">
        <v>0.8</v>
      </c>
      <c r="AO89" s="5">
        <v>0.625</v>
      </c>
      <c r="AP89" s="3">
        <v>332</v>
      </c>
    </row>
    <row r="90" spans="1:42">
      <c r="A90" s="4" t="str">
        <f>_xlfn.XLOOKUP(Table1[[#This Row],[SAP]],'Location List'!B:B,'Location List'!G:G)</f>
        <v>DFW NORTH</v>
      </c>
      <c r="B90" s="4" t="str">
        <f>LEFT(Table1[[#This Row],[Sap: Loaction]],4)</f>
        <v>1BSA</v>
      </c>
      <c r="C90" t="s">
        <v>505</v>
      </c>
      <c r="D90" t="s">
        <v>599</v>
      </c>
      <c r="E90" s="3">
        <v>5</v>
      </c>
      <c r="F90" s="3">
        <v>334</v>
      </c>
      <c r="G90">
        <v>268.5</v>
      </c>
      <c r="H90" t="s">
        <v>470</v>
      </c>
      <c r="I90" s="6">
        <v>22.5639</v>
      </c>
      <c r="J90" s="6">
        <v>34.999069334574216</v>
      </c>
      <c r="K90" s="5">
        <v>0.64470000000000005</v>
      </c>
      <c r="L90" s="3">
        <v>328</v>
      </c>
      <c r="M90">
        <v>89</v>
      </c>
      <c r="N90">
        <v>100.621</v>
      </c>
      <c r="O90" s="5">
        <v>0.88449999999999995</v>
      </c>
      <c r="P90" s="3">
        <v>199</v>
      </c>
      <c r="Q90">
        <v>131</v>
      </c>
      <c r="R90">
        <v>957</v>
      </c>
      <c r="S90" s="5">
        <v>0.13688610240334378</v>
      </c>
      <c r="T90" s="5">
        <v>0.23998264797220159</v>
      </c>
      <c r="U90" s="5">
        <v>0.57040000000000002</v>
      </c>
      <c r="V90" s="3">
        <v>295</v>
      </c>
      <c r="W90" s="5">
        <v>0.86001161758078115</v>
      </c>
      <c r="X90" s="3">
        <v>287</v>
      </c>
      <c r="Y90">
        <v>8.2592999999999996</v>
      </c>
      <c r="Z90" s="3">
        <v>301</v>
      </c>
      <c r="AA90">
        <v>7</v>
      </c>
      <c r="AB90">
        <v>128</v>
      </c>
      <c r="AC90" s="5">
        <v>5.46875E-2</v>
      </c>
      <c r="AD90" s="5">
        <v>0.1</v>
      </c>
      <c r="AE90" s="5">
        <v>0.54690000000000005</v>
      </c>
      <c r="AF90" s="3">
        <v>220</v>
      </c>
      <c r="AG90" s="5">
        <v>0.28286899999999998</v>
      </c>
      <c r="AH90" s="5">
        <v>0.4</v>
      </c>
      <c r="AI90" s="5">
        <v>0.70720000000000005</v>
      </c>
      <c r="AJ90" s="3">
        <v>208</v>
      </c>
      <c r="AK90">
        <v>19</v>
      </c>
      <c r="AL90">
        <v>36</v>
      </c>
      <c r="AM90" s="5">
        <v>0.52777777777777779</v>
      </c>
      <c r="AN90" s="5">
        <v>0.8</v>
      </c>
      <c r="AO90" s="5">
        <v>0.65969999999999995</v>
      </c>
      <c r="AP90" s="3">
        <v>326</v>
      </c>
    </row>
    <row r="91" spans="1:42">
      <c r="A91" s="4" t="str">
        <f>_xlfn.XLOOKUP(Table1[[#This Row],[SAP]],'Location List'!B:B,'Location List'!G:G)</f>
        <v>MO/IA/NE</v>
      </c>
      <c r="B91" s="4" t="str">
        <f>LEFT(Table1[[#This Row],[Sap: Loaction]],4)</f>
        <v>4BSI</v>
      </c>
      <c r="C91" t="s">
        <v>505</v>
      </c>
      <c r="D91" t="s">
        <v>600</v>
      </c>
      <c r="E91" s="3">
        <v>5</v>
      </c>
      <c r="F91" s="3">
        <v>345</v>
      </c>
      <c r="G91">
        <v>286.55</v>
      </c>
      <c r="H91" t="s">
        <v>470</v>
      </c>
      <c r="I91" s="6">
        <v>18.528500000000001</v>
      </c>
      <c r="J91" s="6">
        <v>30.000809585492227</v>
      </c>
      <c r="K91" s="5">
        <v>0.61760000000000004</v>
      </c>
      <c r="L91" s="3">
        <v>332</v>
      </c>
      <c r="M91">
        <v>59</v>
      </c>
      <c r="N91">
        <v>81.635999999999996</v>
      </c>
      <c r="O91" s="5">
        <v>0.72270000000000001</v>
      </c>
      <c r="P91" s="3">
        <v>274</v>
      </c>
      <c r="Q91">
        <v>108</v>
      </c>
      <c r="R91">
        <v>742</v>
      </c>
      <c r="S91" s="5">
        <v>0.14555256064690028</v>
      </c>
      <c r="T91" s="5">
        <v>0.23998773396026427</v>
      </c>
      <c r="U91" s="5">
        <v>0.60650000000000004</v>
      </c>
      <c r="V91" s="3">
        <v>268</v>
      </c>
      <c r="W91" s="5">
        <v>0.50539572192289095</v>
      </c>
      <c r="X91" s="3">
        <v>349</v>
      </c>
      <c r="Y91">
        <v>9</v>
      </c>
      <c r="Z91" s="3">
        <v>176</v>
      </c>
      <c r="AA91">
        <v>4</v>
      </c>
      <c r="AB91">
        <v>160</v>
      </c>
      <c r="AC91" s="5">
        <v>2.5000000000000001E-2</v>
      </c>
      <c r="AD91" s="5">
        <v>0.1</v>
      </c>
      <c r="AE91" s="5">
        <v>0.25</v>
      </c>
      <c r="AF91" s="3">
        <v>303</v>
      </c>
      <c r="AG91" s="5">
        <v>0.13056933333333334</v>
      </c>
      <c r="AH91" s="5">
        <v>0.4</v>
      </c>
      <c r="AI91" s="5">
        <v>0.32640000000000002</v>
      </c>
      <c r="AJ91" s="3">
        <v>353</v>
      </c>
      <c r="AK91">
        <v>8</v>
      </c>
      <c r="AL91">
        <v>11</v>
      </c>
      <c r="AM91" s="5">
        <v>0.72727272727272729</v>
      </c>
      <c r="AN91" s="5">
        <v>0.8</v>
      </c>
      <c r="AO91" s="5">
        <v>0.90910000000000002</v>
      </c>
      <c r="AP91" s="3">
        <v>222</v>
      </c>
    </row>
    <row r="92" spans="1:42">
      <c r="A92" s="4" t="str">
        <f>_xlfn.XLOOKUP(Table1[[#This Row],[SAP]],'Location List'!B:B,'Location List'!G:G)</f>
        <v>SOUTH TX/RGV</v>
      </c>
      <c r="B92" s="4" t="str">
        <f>LEFT(Table1[[#This Row],[Sap: Loaction]],4)</f>
        <v>536E</v>
      </c>
      <c r="C92" t="s">
        <v>505</v>
      </c>
      <c r="D92" t="s">
        <v>585</v>
      </c>
      <c r="E92" s="3">
        <v>5</v>
      </c>
      <c r="F92" s="3">
        <v>346</v>
      </c>
      <c r="G92">
        <v>286.89999999999998</v>
      </c>
      <c r="H92" t="s">
        <v>470</v>
      </c>
      <c r="I92" s="6">
        <v>15.6539</v>
      </c>
      <c r="J92" s="6">
        <v>29.999808355691833</v>
      </c>
      <c r="K92" s="5">
        <v>0.52180000000000004</v>
      </c>
      <c r="L92" s="3">
        <v>343</v>
      </c>
      <c r="M92">
        <v>52</v>
      </c>
      <c r="N92">
        <v>93.027000000000001</v>
      </c>
      <c r="O92" s="5">
        <v>0.55900000000000005</v>
      </c>
      <c r="P92" s="3">
        <v>330</v>
      </c>
      <c r="Q92">
        <v>88</v>
      </c>
      <c r="R92">
        <v>628</v>
      </c>
      <c r="S92" s="5">
        <v>0.14012738853503184</v>
      </c>
      <c r="T92" s="5">
        <v>0.2399852518154339</v>
      </c>
      <c r="U92" s="5">
        <v>0.58389999999999997</v>
      </c>
      <c r="V92" s="3">
        <v>284</v>
      </c>
      <c r="W92" s="5">
        <v>0.92493962581369449</v>
      </c>
      <c r="X92" s="3">
        <v>259</v>
      </c>
      <c r="Y92">
        <v>8.9285999999999994</v>
      </c>
      <c r="Z92" s="3">
        <v>202</v>
      </c>
      <c r="AA92">
        <v>5</v>
      </c>
      <c r="AB92">
        <v>103</v>
      </c>
      <c r="AC92" s="5">
        <v>4.8543689320388349E-2</v>
      </c>
      <c r="AD92" s="5">
        <v>0.1</v>
      </c>
      <c r="AE92" s="5">
        <v>0.4854</v>
      </c>
      <c r="AF92" s="3">
        <v>235</v>
      </c>
      <c r="AG92" s="5">
        <v>0.23169166666666666</v>
      </c>
      <c r="AH92" s="5">
        <v>0.4</v>
      </c>
      <c r="AI92" s="5">
        <v>0.57920000000000005</v>
      </c>
      <c r="AJ92" s="3">
        <v>271</v>
      </c>
      <c r="AK92">
        <v>5</v>
      </c>
      <c r="AL92">
        <v>13</v>
      </c>
      <c r="AM92" s="5">
        <v>0.38461538461538464</v>
      </c>
      <c r="AN92" s="5">
        <v>0.8</v>
      </c>
      <c r="AO92" s="5">
        <v>0.48080000000000001</v>
      </c>
      <c r="AP92" s="3">
        <v>349</v>
      </c>
    </row>
    <row r="93" spans="1:42">
      <c r="A93" s="4" t="str">
        <f>_xlfn.XLOOKUP(Table1[[#This Row],[SAP]],'Location List'!B:B,'Location List'!G:G)</f>
        <v>SOUTH TX/RGV</v>
      </c>
      <c r="B93" s="4" t="str">
        <f>LEFT(Table1[[#This Row],[Sap: Loaction]],4)</f>
        <v>598D</v>
      </c>
      <c r="C93" t="s">
        <v>505</v>
      </c>
      <c r="D93" t="s">
        <v>593</v>
      </c>
      <c r="E93" s="3">
        <v>5</v>
      </c>
      <c r="F93" s="3">
        <v>350</v>
      </c>
      <c r="G93">
        <v>293.10000000000002</v>
      </c>
      <c r="H93" t="s">
        <v>470</v>
      </c>
      <c r="I93" s="6">
        <v>25.599900000000002</v>
      </c>
      <c r="J93" s="6">
        <v>39.999843750000004</v>
      </c>
      <c r="K93" s="5">
        <v>0.64</v>
      </c>
      <c r="L93" s="3">
        <v>329</v>
      </c>
      <c r="M93">
        <v>64</v>
      </c>
      <c r="N93">
        <v>176.56299999999999</v>
      </c>
      <c r="O93" s="5">
        <v>0.36249999999999999</v>
      </c>
      <c r="P93" s="3">
        <v>350</v>
      </c>
      <c r="Q93">
        <v>181</v>
      </c>
      <c r="R93">
        <v>1349</v>
      </c>
      <c r="S93" s="5">
        <v>0.13417346182357301</v>
      </c>
      <c r="T93" s="5">
        <v>0.23998115153563404</v>
      </c>
      <c r="U93" s="5">
        <v>0.55910000000000004</v>
      </c>
      <c r="V93" s="3">
        <v>304</v>
      </c>
      <c r="W93" s="5">
        <v>1.0974954854892762</v>
      </c>
      <c r="X93" s="3">
        <v>184</v>
      </c>
      <c r="Y93">
        <v>7.3913000000000002</v>
      </c>
      <c r="Z93" s="3">
        <v>350</v>
      </c>
      <c r="AA93">
        <v>1</v>
      </c>
      <c r="AB93">
        <v>186</v>
      </c>
      <c r="AC93" s="5">
        <v>5.3763440860215058E-3</v>
      </c>
      <c r="AD93" s="5">
        <v>0.1</v>
      </c>
      <c r="AE93" s="5">
        <v>5.3800000000000001E-2</v>
      </c>
      <c r="AF93" s="3">
        <v>351</v>
      </c>
      <c r="AG93" s="5">
        <v>0.32727233333333333</v>
      </c>
      <c r="AH93" s="5">
        <v>0.4</v>
      </c>
      <c r="AI93" s="5">
        <v>0.81820000000000004</v>
      </c>
      <c r="AJ93" s="3">
        <v>151</v>
      </c>
      <c r="AK93">
        <v>21</v>
      </c>
      <c r="AL93">
        <v>30</v>
      </c>
      <c r="AM93" s="5">
        <v>0.7</v>
      </c>
      <c r="AN93" s="5">
        <v>0.8</v>
      </c>
      <c r="AO93" s="5">
        <v>0.875</v>
      </c>
      <c r="AP93" s="3">
        <v>245</v>
      </c>
    </row>
    <row r="94" spans="1:42">
      <c r="A94" s="4" t="str">
        <f>_xlfn.XLOOKUP(Table1[[#This Row],[SAP]],'Location List'!B:B,'Location List'!G:G)</f>
        <v>DFW NORTH</v>
      </c>
      <c r="B94" s="4" t="str">
        <f>LEFT(Table1[[#This Row],[Sap: Loaction]],4)</f>
        <v>256E</v>
      </c>
      <c r="C94" t="s">
        <v>505</v>
      </c>
      <c r="D94" t="s">
        <v>596</v>
      </c>
      <c r="E94" s="3">
        <v>5</v>
      </c>
      <c r="F94" s="3">
        <v>351</v>
      </c>
      <c r="G94">
        <v>293.8</v>
      </c>
      <c r="H94" t="s">
        <v>470</v>
      </c>
      <c r="I94" s="6">
        <v>28.580400000000001</v>
      </c>
      <c r="J94" s="6">
        <v>34.999265246142542</v>
      </c>
      <c r="K94" s="5">
        <v>0.81659999999999999</v>
      </c>
      <c r="L94" s="3">
        <v>273</v>
      </c>
      <c r="M94">
        <v>76</v>
      </c>
      <c r="N94">
        <v>165.17</v>
      </c>
      <c r="O94" s="5">
        <v>0.46010000000000001</v>
      </c>
      <c r="P94" s="3">
        <v>341</v>
      </c>
      <c r="Q94">
        <v>125</v>
      </c>
      <c r="R94">
        <v>956</v>
      </c>
      <c r="S94" s="5">
        <v>0.1307531380753138</v>
      </c>
      <c r="T94" s="5">
        <v>0.24000208897818248</v>
      </c>
      <c r="U94" s="5">
        <v>0.54479999999999995</v>
      </c>
      <c r="V94" s="3">
        <v>308</v>
      </c>
      <c r="W94" s="5">
        <v>0.50595853977910854</v>
      </c>
      <c r="X94" s="3">
        <v>348</v>
      </c>
      <c r="Y94">
        <v>8.5</v>
      </c>
      <c r="Z94" s="3">
        <v>286</v>
      </c>
      <c r="AA94">
        <v>0</v>
      </c>
      <c r="AB94">
        <v>159</v>
      </c>
      <c r="AC94" s="5">
        <v>0</v>
      </c>
      <c r="AD94" s="5">
        <v>0.1</v>
      </c>
      <c r="AE94" s="5">
        <v>0</v>
      </c>
      <c r="AF94" s="3">
        <v>354</v>
      </c>
      <c r="AG94" s="5">
        <v>0.3</v>
      </c>
      <c r="AH94" s="5">
        <v>0.4</v>
      </c>
      <c r="AI94" s="5">
        <v>0.75</v>
      </c>
      <c r="AJ94" s="3">
        <v>180</v>
      </c>
      <c r="AK94">
        <v>17</v>
      </c>
      <c r="AL94">
        <v>23</v>
      </c>
      <c r="AM94" s="5">
        <v>0.73913043478260865</v>
      </c>
      <c r="AN94" s="5">
        <v>0.8</v>
      </c>
      <c r="AO94" s="5">
        <v>0.92390000000000005</v>
      </c>
      <c r="AP94" s="3">
        <v>210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L98"/>
  <sheetViews>
    <sheetView workbookViewId="0">
      <selection activeCell="O19" sqref="O19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customWidth="1"/>
  </cols>
  <sheetData>
    <row r="1" spans="1:12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</row>
    <row r="3" spans="1:12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</row>
    <row r="4" spans="1:12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</row>
    <row r="5" spans="1:12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</row>
    <row r="6" spans="1:12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</row>
    <row r="7" spans="1:12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</row>
    <row r="8" spans="1:12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</row>
    <row r="9" spans="1:12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</row>
    <row r="10" spans="1:12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</row>
    <row r="11" spans="1:12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</row>
    <row r="12" spans="1:12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</row>
    <row r="13" spans="1:12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</row>
    <row r="14" spans="1:12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</row>
    <row r="15" spans="1:12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</row>
    <row r="16" spans="1:12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</row>
    <row r="17" spans="1:12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</row>
    <row r="18" spans="1:12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</row>
    <row r="19" spans="1:12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</row>
    <row r="20" spans="1:12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</row>
    <row r="21" spans="1:12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</row>
    <row r="22" spans="1:12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</row>
    <row r="23" spans="1:12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</row>
    <row r="24" spans="1:12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</row>
    <row r="25" spans="1:12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</row>
    <row r="26" spans="1:12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</row>
    <row r="27" spans="1:12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</row>
    <row r="28" spans="1:12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</row>
    <row r="29" spans="1:12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</row>
    <row r="30" spans="1:12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</row>
    <row r="31" spans="1:12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</row>
    <row r="32" spans="1:12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</row>
    <row r="33" spans="1:12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</row>
    <row r="34" spans="1:12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</row>
    <row r="35" spans="1:12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</row>
    <row r="36" spans="1:12">
      <c r="A36" t="s">
        <v>175</v>
      </c>
      <c r="B36" t="s">
        <v>176</v>
      </c>
      <c r="C36" t="s">
        <v>177</v>
      </c>
      <c r="D36" t="s">
        <v>178</v>
      </c>
      <c r="E36" t="s">
        <v>105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</row>
    <row r="37" spans="1:12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17</v>
      </c>
      <c r="G37" t="s">
        <v>130</v>
      </c>
      <c r="H37" t="s">
        <v>19</v>
      </c>
      <c r="I37" t="s">
        <v>20</v>
      </c>
      <c r="J37" t="s">
        <v>131</v>
      </c>
      <c r="K37" t="s">
        <v>22</v>
      </c>
      <c r="L37" t="s">
        <v>23</v>
      </c>
    </row>
    <row r="38" spans="1:12">
      <c r="A38" t="s">
        <v>183</v>
      </c>
      <c r="B38" t="s">
        <v>184</v>
      </c>
      <c r="C38" t="s">
        <v>185</v>
      </c>
      <c r="D38" t="s">
        <v>186</v>
      </c>
      <c r="E38" t="s">
        <v>185</v>
      </c>
      <c r="F38" t="s">
        <v>187</v>
      </c>
      <c r="G38" t="s">
        <v>188</v>
      </c>
      <c r="H38" t="s">
        <v>19</v>
      </c>
      <c r="I38" t="s">
        <v>20</v>
      </c>
      <c r="J38" t="s">
        <v>189</v>
      </c>
      <c r="K38" t="s">
        <v>22</v>
      </c>
      <c r="L38" t="s">
        <v>23</v>
      </c>
    </row>
    <row r="39" spans="1:12">
      <c r="A39" t="s">
        <v>190</v>
      </c>
      <c r="B39" t="s">
        <v>191</v>
      </c>
      <c r="C39" t="s">
        <v>192</v>
      </c>
      <c r="D39" t="s">
        <v>193</v>
      </c>
      <c r="E39" t="s">
        <v>194</v>
      </c>
      <c r="F39" t="s">
        <v>187</v>
      </c>
      <c r="G39" t="s">
        <v>188</v>
      </c>
      <c r="H39" t="s">
        <v>19</v>
      </c>
      <c r="I39" t="s">
        <v>20</v>
      </c>
      <c r="J39" t="s">
        <v>189</v>
      </c>
      <c r="K39" t="s">
        <v>22</v>
      </c>
      <c r="L39" t="s">
        <v>23</v>
      </c>
    </row>
    <row r="40" spans="1:12">
      <c r="A40" t="s">
        <v>195</v>
      </c>
      <c r="B40" t="s">
        <v>196</v>
      </c>
      <c r="C40" t="s">
        <v>197</v>
      </c>
      <c r="D40" t="s">
        <v>198</v>
      </c>
      <c r="E40" t="s">
        <v>194</v>
      </c>
      <c r="F40" t="s">
        <v>187</v>
      </c>
      <c r="G40" t="s">
        <v>188</v>
      </c>
      <c r="H40" t="s">
        <v>19</v>
      </c>
      <c r="I40" t="s">
        <v>20</v>
      </c>
      <c r="J40" t="s">
        <v>189</v>
      </c>
      <c r="K40" t="s">
        <v>22</v>
      </c>
      <c r="L40" t="s">
        <v>23</v>
      </c>
    </row>
    <row r="41" spans="1:12">
      <c r="A41" t="s">
        <v>199</v>
      </c>
      <c r="B41" t="s">
        <v>200</v>
      </c>
      <c r="C41" t="s">
        <v>201</v>
      </c>
      <c r="D41" t="s">
        <v>202</v>
      </c>
      <c r="E41" t="s">
        <v>203</v>
      </c>
      <c r="F41" t="s">
        <v>204</v>
      </c>
      <c r="G41" t="s">
        <v>188</v>
      </c>
      <c r="H41" t="s">
        <v>19</v>
      </c>
      <c r="I41" t="s">
        <v>20</v>
      </c>
      <c r="J41" t="s">
        <v>189</v>
      </c>
      <c r="K41" t="s">
        <v>22</v>
      </c>
      <c r="L41" t="s">
        <v>23</v>
      </c>
    </row>
    <row r="42" spans="1:12">
      <c r="A42" t="s">
        <v>205</v>
      </c>
      <c r="B42" t="s">
        <v>206</v>
      </c>
      <c r="C42" t="s">
        <v>207</v>
      </c>
      <c r="D42" t="s">
        <v>208</v>
      </c>
      <c r="E42" t="s">
        <v>209</v>
      </c>
      <c r="F42" t="s">
        <v>204</v>
      </c>
      <c r="G42" t="s">
        <v>188</v>
      </c>
      <c r="H42" t="s">
        <v>19</v>
      </c>
      <c r="I42" t="s">
        <v>20</v>
      </c>
      <c r="J42" t="s">
        <v>189</v>
      </c>
      <c r="K42" t="s">
        <v>22</v>
      </c>
      <c r="L42" t="s">
        <v>23</v>
      </c>
    </row>
    <row r="43" spans="1:12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187</v>
      </c>
      <c r="G43" t="s">
        <v>188</v>
      </c>
      <c r="H43" t="s">
        <v>19</v>
      </c>
      <c r="I43" t="s">
        <v>20</v>
      </c>
      <c r="J43" t="s">
        <v>189</v>
      </c>
      <c r="K43" t="s">
        <v>22</v>
      </c>
      <c r="L43" t="s">
        <v>23</v>
      </c>
    </row>
    <row r="44" spans="1:12">
      <c r="A44" t="s">
        <v>214</v>
      </c>
      <c r="B44" t="s">
        <v>215</v>
      </c>
      <c r="C44" t="s">
        <v>216</v>
      </c>
      <c r="D44" t="s">
        <v>217</v>
      </c>
      <c r="E44" t="s">
        <v>216</v>
      </c>
      <c r="F44" t="s">
        <v>187</v>
      </c>
      <c r="G44" t="s">
        <v>188</v>
      </c>
      <c r="H44" t="s">
        <v>19</v>
      </c>
      <c r="I44" t="s">
        <v>20</v>
      </c>
      <c r="J44" t="s">
        <v>189</v>
      </c>
      <c r="K44" t="s">
        <v>22</v>
      </c>
      <c r="L44" t="s">
        <v>23</v>
      </c>
    </row>
    <row r="45" spans="1:12">
      <c r="A45" t="s">
        <v>218</v>
      </c>
      <c r="B45" t="s">
        <v>219</v>
      </c>
      <c r="C45" t="s">
        <v>220</v>
      </c>
      <c r="D45" t="s">
        <v>221</v>
      </c>
      <c r="E45" t="s">
        <v>220</v>
      </c>
      <c r="F45" t="s">
        <v>187</v>
      </c>
      <c r="G45" t="s">
        <v>188</v>
      </c>
      <c r="H45" t="s">
        <v>19</v>
      </c>
      <c r="I45" t="s">
        <v>20</v>
      </c>
      <c r="J45" t="s">
        <v>189</v>
      </c>
      <c r="K45" t="s">
        <v>22</v>
      </c>
      <c r="L45" t="s">
        <v>23</v>
      </c>
    </row>
    <row r="46" spans="1:12">
      <c r="A46" t="s">
        <v>222</v>
      </c>
      <c r="B46" t="s">
        <v>223</v>
      </c>
      <c r="C46" t="s">
        <v>224</v>
      </c>
      <c r="D46" t="s">
        <v>225</v>
      </c>
      <c r="E46" t="s">
        <v>226</v>
      </c>
      <c r="F46" t="s">
        <v>187</v>
      </c>
      <c r="G46" t="s">
        <v>188</v>
      </c>
      <c r="H46" t="s">
        <v>19</v>
      </c>
      <c r="I46" t="s">
        <v>20</v>
      </c>
      <c r="J46" t="s">
        <v>189</v>
      </c>
      <c r="K46" t="s">
        <v>22</v>
      </c>
      <c r="L46" t="s">
        <v>23</v>
      </c>
    </row>
    <row r="47" spans="1:12">
      <c r="A47" t="s">
        <v>227</v>
      </c>
      <c r="B47" t="s">
        <v>228</v>
      </c>
      <c r="C47" t="s">
        <v>229</v>
      </c>
      <c r="D47" t="s">
        <v>230</v>
      </c>
      <c r="E47" t="s">
        <v>231</v>
      </c>
      <c r="F47" t="s">
        <v>187</v>
      </c>
      <c r="G47" t="s">
        <v>188</v>
      </c>
      <c r="H47" t="s">
        <v>19</v>
      </c>
      <c r="I47" t="s">
        <v>20</v>
      </c>
      <c r="J47" t="s">
        <v>189</v>
      </c>
      <c r="K47" t="s">
        <v>22</v>
      </c>
      <c r="L47" t="s">
        <v>23</v>
      </c>
    </row>
    <row r="48" spans="1:12">
      <c r="A48" t="s">
        <v>232</v>
      </c>
      <c r="B48" t="s">
        <v>233</v>
      </c>
      <c r="C48" t="s">
        <v>234</v>
      </c>
      <c r="D48" t="s">
        <v>235</v>
      </c>
      <c r="E48" t="s">
        <v>234</v>
      </c>
      <c r="F48" t="s">
        <v>187</v>
      </c>
      <c r="G48" t="s">
        <v>188</v>
      </c>
      <c r="H48" t="s">
        <v>19</v>
      </c>
      <c r="I48" t="s">
        <v>20</v>
      </c>
      <c r="J48" t="s">
        <v>189</v>
      </c>
      <c r="K48" t="s">
        <v>22</v>
      </c>
      <c r="L48" t="s">
        <v>23</v>
      </c>
    </row>
    <row r="49" spans="1:12">
      <c r="A49" t="s">
        <v>236</v>
      </c>
      <c r="B49" t="s">
        <v>237</v>
      </c>
      <c r="C49" t="s">
        <v>238</v>
      </c>
      <c r="D49" t="s">
        <v>239</v>
      </c>
      <c r="E49" t="s">
        <v>240</v>
      </c>
      <c r="F49" t="s">
        <v>187</v>
      </c>
      <c r="G49" t="s">
        <v>188</v>
      </c>
      <c r="H49" t="s">
        <v>19</v>
      </c>
      <c r="I49" t="s">
        <v>20</v>
      </c>
      <c r="J49" t="s">
        <v>189</v>
      </c>
      <c r="K49" t="s">
        <v>22</v>
      </c>
      <c r="L49" t="s">
        <v>23</v>
      </c>
    </row>
    <row r="50" spans="1:12">
      <c r="A50" t="s">
        <v>241</v>
      </c>
      <c r="B50" t="s">
        <v>242</v>
      </c>
      <c r="C50" t="s">
        <v>243</v>
      </c>
      <c r="D50" t="s">
        <v>244</v>
      </c>
      <c r="E50" t="s">
        <v>243</v>
      </c>
      <c r="F50" t="s">
        <v>187</v>
      </c>
      <c r="G50" t="s">
        <v>188</v>
      </c>
      <c r="H50" t="s">
        <v>19</v>
      </c>
      <c r="I50" t="s">
        <v>20</v>
      </c>
      <c r="J50" t="s">
        <v>189</v>
      </c>
      <c r="K50" t="s">
        <v>22</v>
      </c>
      <c r="L50" t="s">
        <v>23</v>
      </c>
    </row>
    <row r="51" spans="1:12">
      <c r="A51" t="s">
        <v>245</v>
      </c>
      <c r="B51" t="s">
        <v>246</v>
      </c>
      <c r="C51" t="s">
        <v>247</v>
      </c>
      <c r="D51" t="s">
        <v>248</v>
      </c>
      <c r="E51" t="s">
        <v>249</v>
      </c>
      <c r="F51" t="s">
        <v>187</v>
      </c>
      <c r="G51" t="s">
        <v>188</v>
      </c>
      <c r="H51" t="s">
        <v>19</v>
      </c>
      <c r="I51" t="s">
        <v>20</v>
      </c>
      <c r="J51" t="s">
        <v>189</v>
      </c>
      <c r="K51" t="s">
        <v>22</v>
      </c>
      <c r="L51" t="s">
        <v>23</v>
      </c>
    </row>
    <row r="52" spans="1:12">
      <c r="A52" t="s">
        <v>250</v>
      </c>
      <c r="B52" t="s">
        <v>251</v>
      </c>
      <c r="C52" t="s">
        <v>252</v>
      </c>
      <c r="D52" t="s">
        <v>253</v>
      </c>
      <c r="E52" t="s">
        <v>252</v>
      </c>
      <c r="F52" t="s">
        <v>254</v>
      </c>
      <c r="G52" t="s">
        <v>255</v>
      </c>
      <c r="H52" t="s">
        <v>19</v>
      </c>
      <c r="I52" t="s">
        <v>20</v>
      </c>
      <c r="J52" t="s">
        <v>256</v>
      </c>
      <c r="K52" t="s">
        <v>22</v>
      </c>
      <c r="L52" t="s">
        <v>23</v>
      </c>
    </row>
    <row r="53" spans="1:12">
      <c r="A53" t="s">
        <v>257</v>
      </c>
      <c r="B53" t="s">
        <v>258</v>
      </c>
      <c r="C53" t="s">
        <v>259</v>
      </c>
      <c r="D53" t="s">
        <v>260</v>
      </c>
      <c r="E53" t="s">
        <v>261</v>
      </c>
      <c r="F53" t="s">
        <v>262</v>
      </c>
      <c r="G53" t="s">
        <v>255</v>
      </c>
      <c r="H53" t="s">
        <v>19</v>
      </c>
      <c r="I53" t="s">
        <v>20</v>
      </c>
      <c r="J53" t="s">
        <v>256</v>
      </c>
      <c r="K53" t="s">
        <v>22</v>
      </c>
      <c r="L53" t="s">
        <v>23</v>
      </c>
    </row>
    <row r="54" spans="1:12">
      <c r="A54" t="s">
        <v>263</v>
      </c>
      <c r="B54" t="s">
        <v>264</v>
      </c>
      <c r="C54" t="s">
        <v>265</v>
      </c>
      <c r="D54" t="s">
        <v>266</v>
      </c>
      <c r="E54" t="s">
        <v>267</v>
      </c>
      <c r="F54" t="s">
        <v>262</v>
      </c>
      <c r="G54" t="s">
        <v>255</v>
      </c>
      <c r="H54" t="s">
        <v>19</v>
      </c>
      <c r="I54" t="s">
        <v>20</v>
      </c>
      <c r="J54" t="s">
        <v>256</v>
      </c>
      <c r="K54" t="s">
        <v>22</v>
      </c>
      <c r="L54" t="s">
        <v>23</v>
      </c>
    </row>
    <row r="55" spans="1:12">
      <c r="A55" t="s">
        <v>268</v>
      </c>
      <c r="B55" t="s">
        <v>269</v>
      </c>
      <c r="C55" t="s">
        <v>270</v>
      </c>
      <c r="D55" t="s">
        <v>271</v>
      </c>
      <c r="E55" t="s">
        <v>270</v>
      </c>
      <c r="F55" t="s">
        <v>262</v>
      </c>
      <c r="G55" t="s">
        <v>255</v>
      </c>
      <c r="H55" t="s">
        <v>19</v>
      </c>
      <c r="I55" t="s">
        <v>20</v>
      </c>
      <c r="J55" t="s">
        <v>256</v>
      </c>
      <c r="K55" t="s">
        <v>22</v>
      </c>
      <c r="L55" t="s">
        <v>23</v>
      </c>
    </row>
    <row r="56" spans="1:12">
      <c r="A56" t="s">
        <v>272</v>
      </c>
      <c r="B56" t="s">
        <v>273</v>
      </c>
      <c r="C56" t="s">
        <v>274</v>
      </c>
      <c r="D56" t="s">
        <v>275</v>
      </c>
      <c r="E56" t="s">
        <v>276</v>
      </c>
      <c r="F56" t="s">
        <v>254</v>
      </c>
      <c r="G56" t="s">
        <v>255</v>
      </c>
      <c r="H56" t="s">
        <v>19</v>
      </c>
      <c r="I56" t="s">
        <v>20</v>
      </c>
      <c r="J56" t="s">
        <v>256</v>
      </c>
      <c r="K56" t="s">
        <v>22</v>
      </c>
      <c r="L56" t="s">
        <v>23</v>
      </c>
    </row>
    <row r="57" spans="1:12">
      <c r="A57" t="s">
        <v>277</v>
      </c>
      <c r="B57" t="s">
        <v>278</v>
      </c>
      <c r="C57" t="s">
        <v>279</v>
      </c>
      <c r="D57" t="s">
        <v>280</v>
      </c>
      <c r="E57" t="s">
        <v>279</v>
      </c>
      <c r="F57" t="s">
        <v>262</v>
      </c>
      <c r="G57" t="s">
        <v>255</v>
      </c>
      <c r="H57" t="s">
        <v>19</v>
      </c>
      <c r="I57" t="s">
        <v>20</v>
      </c>
      <c r="J57" t="s">
        <v>256</v>
      </c>
      <c r="K57" t="s">
        <v>22</v>
      </c>
      <c r="L57" t="s">
        <v>23</v>
      </c>
    </row>
    <row r="58" spans="1:12">
      <c r="A58" t="s">
        <v>281</v>
      </c>
      <c r="B58" t="s">
        <v>282</v>
      </c>
      <c r="C58" t="s">
        <v>283</v>
      </c>
      <c r="D58" t="s">
        <v>284</v>
      </c>
      <c r="E58" t="s">
        <v>283</v>
      </c>
      <c r="F58" t="s">
        <v>254</v>
      </c>
      <c r="G58" t="s">
        <v>255</v>
      </c>
      <c r="H58" t="s">
        <v>19</v>
      </c>
      <c r="I58" t="s">
        <v>20</v>
      </c>
      <c r="J58" t="s">
        <v>256</v>
      </c>
      <c r="K58" t="s">
        <v>22</v>
      </c>
      <c r="L58" t="s">
        <v>23</v>
      </c>
    </row>
    <row r="59" spans="1:12">
      <c r="A59" t="s">
        <v>285</v>
      </c>
      <c r="B59" t="s">
        <v>286</v>
      </c>
      <c r="C59" t="s">
        <v>287</v>
      </c>
      <c r="D59" t="s">
        <v>288</v>
      </c>
      <c r="E59" t="s">
        <v>287</v>
      </c>
      <c r="F59" t="s">
        <v>254</v>
      </c>
      <c r="G59" t="s">
        <v>255</v>
      </c>
      <c r="H59" t="s">
        <v>19</v>
      </c>
      <c r="I59" t="s">
        <v>20</v>
      </c>
      <c r="J59" t="s">
        <v>256</v>
      </c>
      <c r="K59" t="s">
        <v>22</v>
      </c>
      <c r="L59" t="s">
        <v>23</v>
      </c>
    </row>
    <row r="60" spans="1:12">
      <c r="A60" t="s">
        <v>289</v>
      </c>
      <c r="B60" t="s">
        <v>290</v>
      </c>
      <c r="C60" t="s">
        <v>291</v>
      </c>
      <c r="D60" t="s">
        <v>292</v>
      </c>
      <c r="E60" t="s">
        <v>293</v>
      </c>
      <c r="F60" t="s">
        <v>294</v>
      </c>
      <c r="G60" t="s">
        <v>255</v>
      </c>
      <c r="H60" t="s">
        <v>19</v>
      </c>
      <c r="I60" t="s">
        <v>20</v>
      </c>
      <c r="J60" t="s">
        <v>256</v>
      </c>
      <c r="K60" t="s">
        <v>22</v>
      </c>
      <c r="L60" t="s">
        <v>23</v>
      </c>
    </row>
    <row r="61" spans="1:12">
      <c r="A61" t="s">
        <v>295</v>
      </c>
      <c r="B61" t="s">
        <v>296</v>
      </c>
      <c r="C61" t="s">
        <v>297</v>
      </c>
      <c r="D61" t="s">
        <v>298</v>
      </c>
      <c r="E61" t="s">
        <v>293</v>
      </c>
      <c r="F61" t="s">
        <v>294</v>
      </c>
      <c r="G61" t="s">
        <v>255</v>
      </c>
      <c r="H61" t="s">
        <v>19</v>
      </c>
      <c r="I61" t="s">
        <v>20</v>
      </c>
      <c r="J61" t="s">
        <v>256</v>
      </c>
      <c r="K61" t="s">
        <v>22</v>
      </c>
      <c r="L61" t="s">
        <v>23</v>
      </c>
    </row>
    <row r="62" spans="1:12">
      <c r="A62" t="s">
        <v>299</v>
      </c>
      <c r="B62" t="s">
        <v>300</v>
      </c>
      <c r="C62" t="s">
        <v>301</v>
      </c>
      <c r="D62" t="s">
        <v>302</v>
      </c>
      <c r="E62" t="s">
        <v>293</v>
      </c>
      <c r="F62" t="s">
        <v>294</v>
      </c>
      <c r="G62" t="s">
        <v>255</v>
      </c>
      <c r="H62" t="s">
        <v>19</v>
      </c>
      <c r="I62" t="s">
        <v>20</v>
      </c>
      <c r="J62" t="s">
        <v>256</v>
      </c>
      <c r="K62" t="s">
        <v>22</v>
      </c>
      <c r="L62" t="s">
        <v>23</v>
      </c>
    </row>
    <row r="63" spans="1:12">
      <c r="A63" t="s">
        <v>303</v>
      </c>
      <c r="B63" t="s">
        <v>304</v>
      </c>
      <c r="C63" t="s">
        <v>305</v>
      </c>
      <c r="D63" t="s">
        <v>306</v>
      </c>
      <c r="E63" t="s">
        <v>307</v>
      </c>
      <c r="F63" t="s">
        <v>294</v>
      </c>
      <c r="G63" t="s">
        <v>255</v>
      </c>
      <c r="H63" t="s">
        <v>19</v>
      </c>
      <c r="I63" t="s">
        <v>20</v>
      </c>
      <c r="J63" t="s">
        <v>256</v>
      </c>
      <c r="K63" t="s">
        <v>22</v>
      </c>
      <c r="L63" t="s">
        <v>23</v>
      </c>
    </row>
    <row r="64" spans="1:12">
      <c r="A64" t="s">
        <v>308</v>
      </c>
      <c r="B64" t="s">
        <v>309</v>
      </c>
      <c r="C64" t="s">
        <v>310</v>
      </c>
      <c r="D64" t="s">
        <v>311</v>
      </c>
      <c r="E64" t="s">
        <v>310</v>
      </c>
      <c r="F64" t="s">
        <v>294</v>
      </c>
      <c r="G64" t="s">
        <v>255</v>
      </c>
      <c r="H64" t="s">
        <v>19</v>
      </c>
      <c r="I64" t="s">
        <v>20</v>
      </c>
      <c r="J64" t="s">
        <v>256</v>
      </c>
      <c r="K64" t="s">
        <v>22</v>
      </c>
      <c r="L64" t="s">
        <v>23</v>
      </c>
    </row>
    <row r="65" spans="1:12">
      <c r="A65" t="s">
        <v>312</v>
      </c>
      <c r="B65" t="s">
        <v>313</v>
      </c>
      <c r="C65" t="s">
        <v>314</v>
      </c>
      <c r="D65" t="s">
        <v>315</v>
      </c>
      <c r="E65" t="s">
        <v>316</v>
      </c>
      <c r="F65" t="s">
        <v>17</v>
      </c>
      <c r="G65" t="s">
        <v>317</v>
      </c>
      <c r="H65" t="s">
        <v>19</v>
      </c>
      <c r="I65" t="s">
        <v>20</v>
      </c>
      <c r="J65" t="s">
        <v>318</v>
      </c>
      <c r="K65" t="s">
        <v>22</v>
      </c>
      <c r="L65" t="s">
        <v>23</v>
      </c>
    </row>
    <row r="66" spans="1:12">
      <c r="A66" t="s">
        <v>319</v>
      </c>
      <c r="B66" t="s">
        <v>320</v>
      </c>
      <c r="C66" t="s">
        <v>321</v>
      </c>
      <c r="D66" t="s">
        <v>322</v>
      </c>
      <c r="E66" t="s">
        <v>323</v>
      </c>
      <c r="F66" t="s">
        <v>17</v>
      </c>
      <c r="G66" t="s">
        <v>317</v>
      </c>
      <c r="H66" t="s">
        <v>19</v>
      </c>
      <c r="I66" t="s">
        <v>20</v>
      </c>
      <c r="J66" t="s">
        <v>318</v>
      </c>
      <c r="K66" t="s">
        <v>22</v>
      </c>
      <c r="L66" t="s">
        <v>23</v>
      </c>
    </row>
    <row r="67" spans="1:12">
      <c r="A67" t="s">
        <v>324</v>
      </c>
      <c r="B67" t="s">
        <v>325</v>
      </c>
      <c r="C67" t="s">
        <v>326</v>
      </c>
      <c r="D67" t="s">
        <v>327</v>
      </c>
      <c r="E67" t="s">
        <v>316</v>
      </c>
      <c r="F67" t="s">
        <v>17</v>
      </c>
      <c r="G67" t="s">
        <v>317</v>
      </c>
      <c r="H67" t="s">
        <v>19</v>
      </c>
      <c r="I67" t="s">
        <v>20</v>
      </c>
      <c r="J67" t="s">
        <v>318</v>
      </c>
      <c r="K67" t="s">
        <v>22</v>
      </c>
      <c r="L67" t="s">
        <v>23</v>
      </c>
    </row>
    <row r="68" spans="1:12">
      <c r="A68" t="s">
        <v>328</v>
      </c>
      <c r="B68" t="s">
        <v>329</v>
      </c>
      <c r="C68" t="s">
        <v>330</v>
      </c>
      <c r="D68" t="s">
        <v>331</v>
      </c>
      <c r="E68" t="s">
        <v>316</v>
      </c>
      <c r="F68" t="s">
        <v>17</v>
      </c>
      <c r="G68" t="s">
        <v>317</v>
      </c>
      <c r="H68" t="s">
        <v>19</v>
      </c>
      <c r="I68" t="s">
        <v>20</v>
      </c>
      <c r="J68" t="s">
        <v>318</v>
      </c>
      <c r="K68" t="s">
        <v>22</v>
      </c>
      <c r="L68" t="s">
        <v>23</v>
      </c>
    </row>
    <row r="69" spans="1:12">
      <c r="A69" t="s">
        <v>332</v>
      </c>
      <c r="B69" t="s">
        <v>333</v>
      </c>
      <c r="C69" t="s">
        <v>334</v>
      </c>
      <c r="D69" t="s">
        <v>335</v>
      </c>
      <c r="E69" t="s">
        <v>316</v>
      </c>
      <c r="F69" t="s">
        <v>17</v>
      </c>
      <c r="G69" t="s">
        <v>317</v>
      </c>
      <c r="H69" t="s">
        <v>19</v>
      </c>
      <c r="I69" t="s">
        <v>20</v>
      </c>
      <c r="J69" t="s">
        <v>318</v>
      </c>
      <c r="K69" t="s">
        <v>22</v>
      </c>
      <c r="L69" t="s">
        <v>23</v>
      </c>
    </row>
    <row r="70" spans="1:12">
      <c r="A70" t="s">
        <v>336</v>
      </c>
      <c r="B70" t="s">
        <v>337</v>
      </c>
      <c r="C70" t="s">
        <v>338</v>
      </c>
      <c r="D70" t="s">
        <v>339</v>
      </c>
      <c r="E70" t="s">
        <v>316</v>
      </c>
      <c r="F70" t="s">
        <v>17</v>
      </c>
      <c r="G70" t="s">
        <v>317</v>
      </c>
      <c r="H70" t="s">
        <v>19</v>
      </c>
      <c r="I70" t="s">
        <v>20</v>
      </c>
      <c r="J70" t="s">
        <v>318</v>
      </c>
      <c r="K70" t="s">
        <v>22</v>
      </c>
      <c r="L70" t="s">
        <v>23</v>
      </c>
    </row>
    <row r="71" spans="1:12">
      <c r="A71" t="s">
        <v>340</v>
      </c>
      <c r="B71" t="s">
        <v>341</v>
      </c>
      <c r="C71" t="s">
        <v>342</v>
      </c>
      <c r="D71" t="s">
        <v>343</v>
      </c>
      <c r="E71" t="s">
        <v>342</v>
      </c>
      <c r="F71" t="s">
        <v>17</v>
      </c>
      <c r="G71" t="s">
        <v>317</v>
      </c>
      <c r="H71" t="s">
        <v>19</v>
      </c>
      <c r="I71" t="s">
        <v>20</v>
      </c>
      <c r="J71" t="s">
        <v>318</v>
      </c>
      <c r="K71" t="s">
        <v>22</v>
      </c>
      <c r="L71" t="s">
        <v>23</v>
      </c>
    </row>
    <row r="72" spans="1:12">
      <c r="A72" t="s">
        <v>344</v>
      </c>
      <c r="B72" t="s">
        <v>345</v>
      </c>
      <c r="C72" t="s">
        <v>346</v>
      </c>
      <c r="D72" t="s">
        <v>347</v>
      </c>
      <c r="E72" t="s">
        <v>316</v>
      </c>
      <c r="F72" t="s">
        <v>17</v>
      </c>
      <c r="G72" t="s">
        <v>317</v>
      </c>
      <c r="H72" t="s">
        <v>19</v>
      </c>
      <c r="I72" t="s">
        <v>20</v>
      </c>
      <c r="J72" t="s">
        <v>318</v>
      </c>
      <c r="K72" t="s">
        <v>22</v>
      </c>
      <c r="L72" t="s">
        <v>23</v>
      </c>
    </row>
    <row r="73" spans="1:12">
      <c r="A73" t="s">
        <v>348</v>
      </c>
      <c r="B73" t="s">
        <v>349</v>
      </c>
      <c r="C73" t="s">
        <v>350</v>
      </c>
      <c r="D73" t="s">
        <v>351</v>
      </c>
      <c r="E73" t="s">
        <v>342</v>
      </c>
      <c r="F73" t="s">
        <v>17</v>
      </c>
      <c r="G73" t="s">
        <v>317</v>
      </c>
      <c r="H73" t="s">
        <v>19</v>
      </c>
      <c r="I73" t="s">
        <v>20</v>
      </c>
      <c r="J73" t="s">
        <v>318</v>
      </c>
      <c r="K73" t="s">
        <v>22</v>
      </c>
      <c r="L73" t="s">
        <v>23</v>
      </c>
    </row>
    <row r="74" spans="1:12">
      <c r="A74" t="s">
        <v>352</v>
      </c>
      <c r="B74" t="s">
        <v>353</v>
      </c>
      <c r="C74" t="s">
        <v>354</v>
      </c>
      <c r="D74" t="s">
        <v>355</v>
      </c>
      <c r="E74" t="s">
        <v>354</v>
      </c>
      <c r="F74" t="s">
        <v>17</v>
      </c>
      <c r="G74" t="s">
        <v>317</v>
      </c>
      <c r="H74" t="s">
        <v>19</v>
      </c>
      <c r="I74" t="s">
        <v>20</v>
      </c>
      <c r="J74" t="s">
        <v>318</v>
      </c>
      <c r="K74" t="s">
        <v>22</v>
      </c>
      <c r="L74" t="s">
        <v>23</v>
      </c>
    </row>
    <row r="75" spans="1:12">
      <c r="A75" t="s">
        <v>356</v>
      </c>
      <c r="B75" t="s">
        <v>357</v>
      </c>
      <c r="C75" t="s">
        <v>358</v>
      </c>
      <c r="D75" t="s">
        <v>359</v>
      </c>
      <c r="E75" t="s">
        <v>358</v>
      </c>
      <c r="F75" t="s">
        <v>17</v>
      </c>
      <c r="G75" t="s">
        <v>360</v>
      </c>
      <c r="H75" t="s">
        <v>19</v>
      </c>
      <c r="I75" t="s">
        <v>20</v>
      </c>
      <c r="J75" t="s">
        <v>361</v>
      </c>
      <c r="K75" t="s">
        <v>22</v>
      </c>
      <c r="L75" t="s">
        <v>23</v>
      </c>
    </row>
    <row r="76" spans="1:12">
      <c r="A76" t="s">
        <v>362</v>
      </c>
      <c r="B76" t="s">
        <v>363</v>
      </c>
      <c r="C76" t="s">
        <v>364</v>
      </c>
      <c r="D76" t="s">
        <v>365</v>
      </c>
      <c r="E76" t="s">
        <v>366</v>
      </c>
      <c r="F76" t="s">
        <v>17</v>
      </c>
      <c r="G76" t="s">
        <v>360</v>
      </c>
      <c r="H76" t="s">
        <v>19</v>
      </c>
      <c r="I76" t="s">
        <v>20</v>
      </c>
      <c r="J76" t="s">
        <v>361</v>
      </c>
      <c r="K76" t="s">
        <v>22</v>
      </c>
      <c r="L76" t="s">
        <v>23</v>
      </c>
    </row>
    <row r="77" spans="1:12">
      <c r="A77" t="s">
        <v>367</v>
      </c>
      <c r="B77" t="s">
        <v>368</v>
      </c>
      <c r="C77" t="s">
        <v>369</v>
      </c>
      <c r="D77" t="s">
        <v>370</v>
      </c>
      <c r="E77" t="s">
        <v>369</v>
      </c>
      <c r="F77" t="s">
        <v>17</v>
      </c>
      <c r="G77" t="s">
        <v>360</v>
      </c>
      <c r="H77" t="s">
        <v>19</v>
      </c>
      <c r="I77" t="s">
        <v>20</v>
      </c>
      <c r="J77" t="s">
        <v>361</v>
      </c>
      <c r="K77" t="s">
        <v>22</v>
      </c>
      <c r="L77" t="s">
        <v>23</v>
      </c>
    </row>
    <row r="78" spans="1:12">
      <c r="A78" t="s">
        <v>371</v>
      </c>
      <c r="B78" t="s">
        <v>372</v>
      </c>
      <c r="C78" t="s">
        <v>373</v>
      </c>
      <c r="D78" t="s">
        <v>374</v>
      </c>
      <c r="E78" t="s">
        <v>316</v>
      </c>
      <c r="F78" t="s">
        <v>17</v>
      </c>
      <c r="G78" t="s">
        <v>360</v>
      </c>
      <c r="H78" t="s">
        <v>19</v>
      </c>
      <c r="I78" t="s">
        <v>20</v>
      </c>
      <c r="J78" t="s">
        <v>361</v>
      </c>
      <c r="K78" t="s">
        <v>22</v>
      </c>
      <c r="L78" t="s">
        <v>23</v>
      </c>
    </row>
    <row r="79" spans="1:12">
      <c r="A79" t="s">
        <v>375</v>
      </c>
      <c r="B79" t="s">
        <v>376</v>
      </c>
      <c r="C79" t="s">
        <v>377</v>
      </c>
      <c r="D79" t="s">
        <v>378</v>
      </c>
      <c r="E79" t="s">
        <v>379</v>
      </c>
      <c r="F79" t="s">
        <v>17</v>
      </c>
      <c r="G79" t="s">
        <v>360</v>
      </c>
      <c r="H79" t="s">
        <v>19</v>
      </c>
      <c r="I79" t="s">
        <v>20</v>
      </c>
      <c r="J79" t="s">
        <v>361</v>
      </c>
      <c r="K79" t="s">
        <v>22</v>
      </c>
      <c r="L79" t="s">
        <v>23</v>
      </c>
    </row>
    <row r="80" spans="1:12">
      <c r="A80" t="s">
        <v>380</v>
      </c>
      <c r="B80" t="s">
        <v>381</v>
      </c>
      <c r="C80" t="s">
        <v>382</v>
      </c>
      <c r="D80" t="s">
        <v>383</v>
      </c>
      <c r="E80" t="s">
        <v>382</v>
      </c>
      <c r="F80" t="s">
        <v>17</v>
      </c>
      <c r="G80" t="s">
        <v>360</v>
      </c>
      <c r="H80" t="s">
        <v>19</v>
      </c>
      <c r="I80" t="s">
        <v>20</v>
      </c>
      <c r="J80" t="s">
        <v>361</v>
      </c>
      <c r="K80" t="s">
        <v>22</v>
      </c>
      <c r="L80" t="s">
        <v>23</v>
      </c>
    </row>
    <row r="81" spans="1:12">
      <c r="A81" t="s">
        <v>384</v>
      </c>
      <c r="B81" t="s">
        <v>385</v>
      </c>
      <c r="C81" t="s">
        <v>386</v>
      </c>
      <c r="D81" t="s">
        <v>387</v>
      </c>
      <c r="E81" t="s">
        <v>386</v>
      </c>
      <c r="F81" t="s">
        <v>17</v>
      </c>
      <c r="G81" t="s">
        <v>360</v>
      </c>
      <c r="H81" t="s">
        <v>19</v>
      </c>
      <c r="I81" t="s">
        <v>20</v>
      </c>
      <c r="J81" t="s">
        <v>361</v>
      </c>
      <c r="K81" t="s">
        <v>22</v>
      </c>
      <c r="L81" t="s">
        <v>23</v>
      </c>
    </row>
    <row r="82" spans="1:12">
      <c r="A82" t="s">
        <v>388</v>
      </c>
      <c r="B82" t="s">
        <v>389</v>
      </c>
      <c r="C82" t="s">
        <v>390</v>
      </c>
      <c r="D82" t="s">
        <v>391</v>
      </c>
      <c r="E82" t="s">
        <v>316</v>
      </c>
      <c r="F82" t="s">
        <v>17</v>
      </c>
      <c r="G82" t="s">
        <v>360</v>
      </c>
      <c r="H82" t="s">
        <v>19</v>
      </c>
      <c r="I82" t="s">
        <v>20</v>
      </c>
      <c r="J82" t="s">
        <v>361</v>
      </c>
      <c r="K82" t="s">
        <v>22</v>
      </c>
      <c r="L82" t="s">
        <v>23</v>
      </c>
    </row>
    <row r="83" spans="1:12">
      <c r="A83" t="s">
        <v>392</v>
      </c>
      <c r="B83" t="s">
        <v>393</v>
      </c>
      <c r="C83" t="s">
        <v>394</v>
      </c>
      <c r="D83" t="s">
        <v>395</v>
      </c>
      <c r="E83" t="s">
        <v>394</v>
      </c>
      <c r="F83" t="s">
        <v>17</v>
      </c>
      <c r="G83" t="s">
        <v>396</v>
      </c>
      <c r="H83" t="s">
        <v>19</v>
      </c>
      <c r="I83" t="s">
        <v>20</v>
      </c>
      <c r="J83" t="s">
        <v>397</v>
      </c>
      <c r="K83" t="s">
        <v>22</v>
      </c>
      <c r="L83" t="s">
        <v>23</v>
      </c>
    </row>
    <row r="84" spans="1:12">
      <c r="A84" t="s">
        <v>398</v>
      </c>
      <c r="B84" t="s">
        <v>399</v>
      </c>
      <c r="C84" t="s">
        <v>400</v>
      </c>
      <c r="D84" t="s">
        <v>401</v>
      </c>
      <c r="E84" t="s">
        <v>400</v>
      </c>
      <c r="F84" t="s">
        <v>17</v>
      </c>
      <c r="G84" t="s">
        <v>396</v>
      </c>
      <c r="H84" t="s">
        <v>19</v>
      </c>
      <c r="I84" t="s">
        <v>20</v>
      </c>
      <c r="J84" t="s">
        <v>397</v>
      </c>
      <c r="K84" t="s">
        <v>22</v>
      </c>
      <c r="L84" t="s">
        <v>23</v>
      </c>
    </row>
    <row r="85" spans="1:12">
      <c r="A85" t="s">
        <v>402</v>
      </c>
      <c r="B85" t="s">
        <v>403</v>
      </c>
      <c r="C85" t="s">
        <v>404</v>
      </c>
      <c r="D85" t="s">
        <v>405</v>
      </c>
      <c r="E85" t="s">
        <v>406</v>
      </c>
      <c r="F85" t="s">
        <v>17</v>
      </c>
      <c r="G85" t="s">
        <v>396</v>
      </c>
      <c r="H85" t="s">
        <v>19</v>
      </c>
      <c r="I85" t="s">
        <v>20</v>
      </c>
      <c r="J85" t="s">
        <v>397</v>
      </c>
      <c r="K85" t="s">
        <v>22</v>
      </c>
      <c r="L85" t="s">
        <v>23</v>
      </c>
    </row>
    <row r="86" spans="1:12">
      <c r="A86" t="s">
        <v>407</v>
      </c>
      <c r="B86" t="s">
        <v>408</v>
      </c>
      <c r="C86" t="s">
        <v>409</v>
      </c>
      <c r="D86" t="s">
        <v>410</v>
      </c>
      <c r="E86" t="s">
        <v>409</v>
      </c>
      <c r="F86" t="s">
        <v>17</v>
      </c>
      <c r="G86" t="s">
        <v>396</v>
      </c>
      <c r="H86" t="s">
        <v>19</v>
      </c>
      <c r="I86" t="s">
        <v>20</v>
      </c>
      <c r="J86" t="s">
        <v>397</v>
      </c>
      <c r="K86" t="s">
        <v>22</v>
      </c>
      <c r="L86" t="s">
        <v>23</v>
      </c>
    </row>
    <row r="87" spans="1:12">
      <c r="A87" t="s">
        <v>411</v>
      </c>
      <c r="B87" t="s">
        <v>412</v>
      </c>
      <c r="C87" t="s">
        <v>413</v>
      </c>
      <c r="D87" t="s">
        <v>414</v>
      </c>
      <c r="E87" t="s">
        <v>413</v>
      </c>
      <c r="F87" t="s">
        <v>17</v>
      </c>
      <c r="G87" t="s">
        <v>396</v>
      </c>
      <c r="H87" t="s">
        <v>19</v>
      </c>
      <c r="I87" t="s">
        <v>20</v>
      </c>
      <c r="J87" t="s">
        <v>397</v>
      </c>
      <c r="K87" t="s">
        <v>22</v>
      </c>
      <c r="L87" t="s">
        <v>23</v>
      </c>
    </row>
    <row r="88" spans="1:12">
      <c r="A88" t="s">
        <v>415</v>
      </c>
      <c r="B88" t="s">
        <v>416</v>
      </c>
      <c r="C88" t="s">
        <v>417</v>
      </c>
      <c r="D88" t="s">
        <v>418</v>
      </c>
      <c r="E88" t="s">
        <v>419</v>
      </c>
      <c r="F88" t="s">
        <v>17</v>
      </c>
      <c r="G88" t="s">
        <v>396</v>
      </c>
      <c r="H88" t="s">
        <v>19</v>
      </c>
      <c r="I88" t="s">
        <v>20</v>
      </c>
      <c r="J88" t="s">
        <v>397</v>
      </c>
      <c r="K88" t="s">
        <v>22</v>
      </c>
      <c r="L88" t="s">
        <v>23</v>
      </c>
    </row>
    <row r="89" spans="1:12">
      <c r="A89" t="s">
        <v>420</v>
      </c>
      <c r="B89" t="s">
        <v>421</v>
      </c>
      <c r="C89" t="s">
        <v>422</v>
      </c>
      <c r="D89" t="s">
        <v>423</v>
      </c>
      <c r="E89" t="s">
        <v>424</v>
      </c>
      <c r="F89" t="s">
        <v>17</v>
      </c>
      <c r="G89" t="s">
        <v>396</v>
      </c>
      <c r="H89" t="s">
        <v>19</v>
      </c>
      <c r="I89" t="s">
        <v>20</v>
      </c>
      <c r="J89" t="s">
        <v>397</v>
      </c>
      <c r="K89" t="s">
        <v>22</v>
      </c>
      <c r="L89" t="s">
        <v>23</v>
      </c>
    </row>
    <row r="90" spans="1:12">
      <c r="A90" t="s">
        <v>425</v>
      </c>
      <c r="B90" t="s">
        <v>426</v>
      </c>
      <c r="C90" t="s">
        <v>427</v>
      </c>
      <c r="D90" t="s">
        <v>428</v>
      </c>
      <c r="E90" t="s">
        <v>427</v>
      </c>
      <c r="F90" t="s">
        <v>17</v>
      </c>
      <c r="G90" t="s">
        <v>396</v>
      </c>
      <c r="H90" t="s">
        <v>19</v>
      </c>
      <c r="I90" t="s">
        <v>20</v>
      </c>
      <c r="J90" t="s">
        <v>397</v>
      </c>
      <c r="K90" t="s">
        <v>22</v>
      </c>
      <c r="L90" t="s">
        <v>23</v>
      </c>
    </row>
    <row r="91" spans="1:12">
      <c r="A91" t="s">
        <v>429</v>
      </c>
      <c r="B91" t="s">
        <v>430</v>
      </c>
      <c r="C91" t="s">
        <v>431</v>
      </c>
      <c r="D91" t="s">
        <v>432</v>
      </c>
      <c r="E91" t="s">
        <v>431</v>
      </c>
      <c r="F91" t="s">
        <v>17</v>
      </c>
      <c r="G91" t="s">
        <v>396</v>
      </c>
      <c r="H91" t="s">
        <v>19</v>
      </c>
      <c r="I91" t="s">
        <v>20</v>
      </c>
      <c r="J91" t="s">
        <v>397</v>
      </c>
      <c r="K91" t="s">
        <v>22</v>
      </c>
      <c r="L91" t="s">
        <v>23</v>
      </c>
    </row>
    <row r="92" spans="1:12">
      <c r="A92" t="s">
        <v>433</v>
      </c>
      <c r="B92" t="s">
        <v>434</v>
      </c>
      <c r="C92" t="s">
        <v>435</v>
      </c>
      <c r="D92" t="s">
        <v>436</v>
      </c>
      <c r="E92" t="s">
        <v>435</v>
      </c>
      <c r="F92" t="s">
        <v>437</v>
      </c>
      <c r="G92" t="s">
        <v>438</v>
      </c>
      <c r="H92" t="s">
        <v>19</v>
      </c>
      <c r="I92" t="s">
        <v>20</v>
      </c>
      <c r="J92" t="s">
        <v>439</v>
      </c>
      <c r="K92" t="s">
        <v>22</v>
      </c>
      <c r="L92" t="s">
        <v>23</v>
      </c>
    </row>
    <row r="93" spans="1:12">
      <c r="A93" t="s">
        <v>440</v>
      </c>
      <c r="B93" t="s">
        <v>441</v>
      </c>
      <c r="C93" t="s">
        <v>442</v>
      </c>
      <c r="D93" t="s">
        <v>443</v>
      </c>
      <c r="E93" t="s">
        <v>442</v>
      </c>
      <c r="F93" t="s">
        <v>17</v>
      </c>
      <c r="G93" t="s">
        <v>438</v>
      </c>
      <c r="H93" t="s">
        <v>19</v>
      </c>
      <c r="I93" t="s">
        <v>20</v>
      </c>
      <c r="J93" t="s">
        <v>439</v>
      </c>
      <c r="K93" t="s">
        <v>22</v>
      </c>
      <c r="L93" t="s">
        <v>23</v>
      </c>
    </row>
    <row r="94" spans="1:12">
      <c r="A94" t="s">
        <v>444</v>
      </c>
      <c r="B94" t="s">
        <v>445</v>
      </c>
      <c r="C94" t="s">
        <v>446</v>
      </c>
      <c r="D94" t="s">
        <v>447</v>
      </c>
      <c r="E94" t="s">
        <v>448</v>
      </c>
      <c r="F94" t="s">
        <v>17</v>
      </c>
      <c r="G94" t="s">
        <v>438</v>
      </c>
      <c r="H94" t="s">
        <v>19</v>
      </c>
      <c r="I94" t="s">
        <v>20</v>
      </c>
      <c r="J94" t="s">
        <v>439</v>
      </c>
      <c r="K94" t="s">
        <v>22</v>
      </c>
      <c r="L94" t="s">
        <v>23</v>
      </c>
    </row>
    <row r="95" spans="1:12">
      <c r="A95" t="s">
        <v>449</v>
      </c>
      <c r="B95" t="s">
        <v>450</v>
      </c>
      <c r="C95" t="s">
        <v>451</v>
      </c>
      <c r="D95" t="s">
        <v>452</v>
      </c>
      <c r="E95" t="s">
        <v>451</v>
      </c>
      <c r="F95" t="s">
        <v>17</v>
      </c>
      <c r="G95" t="s">
        <v>438</v>
      </c>
      <c r="H95" t="s">
        <v>19</v>
      </c>
      <c r="I95" t="s">
        <v>20</v>
      </c>
      <c r="J95" t="s">
        <v>439</v>
      </c>
      <c r="K95" t="s">
        <v>22</v>
      </c>
      <c r="L95" t="s">
        <v>23</v>
      </c>
    </row>
    <row r="96" spans="1:12">
      <c r="A96" t="s">
        <v>453</v>
      </c>
      <c r="B96" t="s">
        <v>454</v>
      </c>
      <c r="C96" t="s">
        <v>455</v>
      </c>
      <c r="D96" t="s">
        <v>456</v>
      </c>
      <c r="E96" t="s">
        <v>442</v>
      </c>
      <c r="F96" t="s">
        <v>17</v>
      </c>
      <c r="G96" t="s">
        <v>438</v>
      </c>
      <c r="H96" t="s">
        <v>19</v>
      </c>
      <c r="I96" t="s">
        <v>20</v>
      </c>
      <c r="J96" t="s">
        <v>439</v>
      </c>
      <c r="K96" t="s">
        <v>22</v>
      </c>
      <c r="L96" t="s">
        <v>23</v>
      </c>
    </row>
    <row r="97" spans="1:12">
      <c r="A97" t="s">
        <v>457</v>
      </c>
      <c r="B97" t="s">
        <v>458</v>
      </c>
      <c r="C97" t="s">
        <v>459</v>
      </c>
      <c r="D97" t="s">
        <v>460</v>
      </c>
      <c r="E97" t="s">
        <v>461</v>
      </c>
      <c r="F97" t="s">
        <v>17</v>
      </c>
      <c r="G97" t="s">
        <v>438</v>
      </c>
      <c r="H97" t="s">
        <v>19</v>
      </c>
      <c r="I97" t="s">
        <v>20</v>
      </c>
      <c r="J97" t="s">
        <v>439</v>
      </c>
      <c r="K97" t="s">
        <v>22</v>
      </c>
      <c r="L97" t="s">
        <v>23</v>
      </c>
    </row>
    <row r="98" spans="1:12">
      <c r="A98" t="s">
        <v>462</v>
      </c>
      <c r="B98" t="s">
        <v>463</v>
      </c>
      <c r="C98" t="s">
        <v>464</v>
      </c>
      <c r="D98" t="s">
        <v>465</v>
      </c>
      <c r="E98" t="s">
        <v>464</v>
      </c>
      <c r="F98" t="s">
        <v>17</v>
      </c>
      <c r="G98" t="s">
        <v>438</v>
      </c>
      <c r="H98" t="s">
        <v>19</v>
      </c>
      <c r="I98" t="s">
        <v>20</v>
      </c>
      <c r="J98" t="s">
        <v>439</v>
      </c>
      <c r="K98" t="s">
        <v>22</v>
      </c>
      <c r="L98" t="s">
        <v>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A2" sqref="A2"/>
    </sheetView>
  </sheetViews>
  <sheetFormatPr baseColWidth="10" defaultRowHeight="16"/>
  <sheetData>
    <row r="1" spans="1:1">
      <c r="A1" s="7">
        <v>46262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2026-09-01T19:28:28Z</dcterms:modified>
</cp:coreProperties>
</file>